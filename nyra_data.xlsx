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Price List &amp; Margins" sheetId="2" r:id="rId5"/>
    <sheet state="visible" name="Earnings" sheetId="3" r:id="rId6"/>
    <sheet state="visible" name="Category Summary" sheetId="4" r:id="rId7"/>
    <sheet state="visible" name="Inventory" sheetId="5" r:id="rId8"/>
  </sheets>
  <definedNames/>
  <calcPr/>
  <extLst>
    <ext uri="GoogleSheetsCustomDataVersion2">
      <go:sheetsCustomData xmlns:go="http://customooxmlschemas.google.com/" r:id="rId9" roundtripDataChecksum="y2NggLhj0WzESARtnPsPI+Y4mHl7xm6PA3A1mvRrVso="/>
    </ext>
  </extLst>
</workbook>
</file>

<file path=xl/sharedStrings.xml><?xml version="1.0" encoding="utf-8"?>
<sst xmlns="http://schemas.openxmlformats.org/spreadsheetml/2006/main" count="562" uniqueCount="202">
  <si>
    <t>S.No</t>
  </si>
  <si>
    <t>Category</t>
  </si>
  <si>
    <t>Unisex Salon — Price List, Profit &amp; Margin Calculator</t>
  </si>
  <si>
    <t xml:space="preserve">Date </t>
  </si>
  <si>
    <t>Items</t>
  </si>
  <si>
    <t>Money Received</t>
  </si>
  <si>
    <t>Payment Mode</t>
  </si>
  <si>
    <t xml:space="preserve"> </t>
  </si>
  <si>
    <t># of Services</t>
  </si>
  <si>
    <t>Online</t>
  </si>
  <si>
    <t>Avg Selling Price (Rs.)</t>
  </si>
  <si>
    <t># with Cost Entered</t>
  </si>
  <si>
    <t>UPI</t>
  </si>
  <si>
    <t>Avg Cost (Rs.)</t>
  </si>
  <si>
    <t>Service</t>
  </si>
  <si>
    <t>Avg Profit (Rs.)</t>
  </si>
  <si>
    <t>Variant</t>
  </si>
  <si>
    <t>Avg Margin %</t>
  </si>
  <si>
    <t>Selling Price (Rs.)</t>
  </si>
  <si>
    <t>Total Profit if Sold Once Each (Rs.)</t>
  </si>
  <si>
    <t>Cost per Service (Rs.)</t>
  </si>
  <si>
    <t>Threading</t>
  </si>
  <si>
    <t>Profit (Rs.)</t>
  </si>
  <si>
    <t>Margin %</t>
  </si>
  <si>
    <t>HOW TO USE THIS WORKBOOK</t>
  </si>
  <si>
    <t>Notes</t>
  </si>
  <si>
    <t>Upper Lips</t>
  </si>
  <si>
    <t>1. Go to the 'Price List &amp; Margins' tab. Every service from the salon's rate card is listed there, grouped by category, with its Selling Price already filled in from the uploaded menu.</t>
  </si>
  <si>
    <t>Cash</t>
  </si>
  <si>
    <t>2. Fill in your own COST for each service in the yellow 'Cost per Service' column (column E). This should be your fully-loaded cost: consumables/products used, staff time (wage per minute x service duration), electricity, and any other direct cost. Row 6 (Threading - Upper Lips) shows an example — replace it with your real numbers.</t>
  </si>
  <si>
    <t>3. Profit (Rs.) and Margin % calculate automatically as soon as you enter a cost — you don't need to touch columns F or G.</t>
  </si>
  <si>
    <t>4. The 'Category Summary' tab automatically rolls up average price, average cost, average profit and average margin for every category, plus an overall salon-wide summary, once you've filled in costs.</t>
  </si>
  <si>
    <t>COLOR KEY</t>
  </si>
  <si>
    <t xml:space="preserve">  Yellow cells = type your own numbers here (Cost per Service).</t>
  </si>
  <si>
    <t xml:space="preserve">  Blue text = hardcoded input.</t>
  </si>
  <si>
    <t xml:space="preserve">  Black text = formula — do not overwrite.</t>
  </si>
  <si>
    <t>NOTES ON THE SOURCE MENU</t>
  </si>
  <si>
    <t>Several numbers in the photographed rate card were partly obscured by glare, correction fluid, or handwriting over the printed price. Those cells are flagged in the 'Notes' column (H) — please verify the actual price with the salon's current physical menu/POS before relying on the Profit/Margin figures for those specific rows. All other prices are transcribed directly as printed on the uploaded menu.</t>
  </si>
  <si>
    <t>Some categories (Make-Up, Colour Touch-Up, Global Colour) list three prices per service without column headers on the original photo — these are labelled 'Tier 1 / Tier 2 / Tier 3' here (lowest to highest price) since the actual tier names (e.g. brand or artist level) weren't legible in the photo.</t>
  </si>
  <si>
    <t>Two Luxury Facial rows and one D-Tan row had prices fully covered by correction fluid with no legible digits — these are left blank and flagged; please fill in the correct price yourself.</t>
  </si>
  <si>
    <t>Treatment plan for hair  - 800Rs  - 5kg -       5000 profit    10 Boxes(1 box cost -  600)  and Shampoo 500Rs 1ltr cost per box 1600</t>
  </si>
  <si>
    <t>Eye Brow</t>
  </si>
  <si>
    <t>Forehead</t>
  </si>
  <si>
    <t>Cheeks</t>
  </si>
  <si>
    <t>Chin</t>
  </si>
  <si>
    <t>Full Face</t>
  </si>
  <si>
    <t>Brazilian Face Wax</t>
  </si>
  <si>
    <t>Protein Bleach</t>
  </si>
  <si>
    <t>Face</t>
  </si>
  <si>
    <t>Fruit</t>
  </si>
  <si>
    <t>Gold</t>
  </si>
  <si>
    <t>Oxy</t>
  </si>
  <si>
    <t>Price partly obscured in source photo - please verify</t>
  </si>
  <si>
    <t>Half Front</t>
  </si>
  <si>
    <t>Half Back</t>
  </si>
  <si>
    <t>Full Front</t>
  </si>
  <si>
    <t xml:space="preserve">Skin aloe vera wax </t>
  </si>
  <si>
    <t>Skin white chocolate wax</t>
  </si>
  <si>
    <t>Waxing stick</t>
  </si>
  <si>
    <t>2 packet</t>
  </si>
  <si>
    <t xml:space="preserve">O3 facial </t>
  </si>
  <si>
    <t xml:space="preserve">Lotus facial kit </t>
  </si>
  <si>
    <t>Threading thread</t>
  </si>
  <si>
    <t>1 set</t>
  </si>
  <si>
    <t xml:space="preserve">Mixed fruit massage cream - </t>
  </si>
  <si>
    <t>1 box</t>
  </si>
  <si>
    <t xml:space="preserve">Foot care salt rose </t>
  </si>
  <si>
    <t>Gel.massage cream</t>
  </si>
  <si>
    <t>Nail polish - light colour</t>
  </si>
  <si>
    <t xml:space="preserve">Facial tissue- </t>
  </si>
  <si>
    <t>2 packet 100 piece</t>
  </si>
  <si>
    <t>Blossom kochar aroma magic</t>
  </si>
  <si>
    <t>Full Back</t>
  </si>
  <si>
    <t>Rica wax</t>
  </si>
  <si>
    <t>White chocolate</t>
  </si>
  <si>
    <t>Vlcc instant glow facial kit</t>
  </si>
  <si>
    <t>1 big packet</t>
  </si>
  <si>
    <t xml:space="preserve">Vlcc gold bleach </t>
  </si>
  <si>
    <t>Massage coconut oil</t>
  </si>
  <si>
    <t>Manicure pedicure tools kit</t>
  </si>
  <si>
    <t>Fold paper</t>
  </si>
  <si>
    <t>Gillette blade</t>
  </si>
  <si>
    <t xml:space="preserve">Smoothening cream (streax) </t>
  </si>
  <si>
    <t>1 big box</t>
  </si>
  <si>
    <t>Keratine(protac)</t>
  </si>
  <si>
    <t>Bella hair care</t>
  </si>
  <si>
    <t>60 capsule</t>
  </si>
  <si>
    <t>Round brush</t>
  </si>
  <si>
    <t>Lotus gel</t>
  </si>
  <si>
    <t>O3 - detan</t>
  </si>
  <si>
    <t>Comb machine trimmer</t>
  </si>
  <si>
    <t>-1,2,3</t>
  </si>
  <si>
    <t>Arms</t>
  </si>
  <si>
    <t>Loreal colour -</t>
  </si>
  <si>
    <t>4, 3 , 4.26,4.65</t>
  </si>
  <si>
    <t>Loreal hair spa</t>
  </si>
  <si>
    <t>Not listed on menu (variant not offered)</t>
  </si>
  <si>
    <t>Legs</t>
  </si>
  <si>
    <t>Full Body</t>
  </si>
  <si>
    <t>Face Bleach</t>
  </si>
  <si>
    <t>Prime</t>
  </si>
  <si>
    <t>O3+</t>
  </si>
  <si>
    <t>Waxing</t>
  </si>
  <si>
    <t>Under Arms</t>
  </si>
  <si>
    <t>Normal</t>
  </si>
  <si>
    <t>White Chocolate</t>
  </si>
  <si>
    <t>Rica</t>
  </si>
  <si>
    <t>Full Arms</t>
  </si>
  <si>
    <t>Half Legs</t>
  </si>
  <si>
    <t>Full Legs</t>
  </si>
  <si>
    <t>Full Legs Full Arms</t>
  </si>
  <si>
    <t>Back &amp; Front</t>
  </si>
  <si>
    <t>Cleanups</t>
  </si>
  <si>
    <t>Full Body (N/A B)</t>
  </si>
  <si>
    <t>Bikini</t>
  </si>
  <si>
    <t>Not listed on menu (variant not offered) for Normal/White Chocolate</t>
  </si>
  <si>
    <t>Papaya</t>
  </si>
  <si>
    <t>Rose</t>
  </si>
  <si>
    <t>Exotic Facials</t>
  </si>
  <si>
    <t>Pearl</t>
  </si>
  <si>
    <t>VLCC Glow</t>
  </si>
  <si>
    <t>On Glow</t>
  </si>
  <si>
    <t>Lotus</t>
  </si>
  <si>
    <t>VLCC Anti Aging</t>
  </si>
  <si>
    <t>Acne Treatment</t>
  </si>
  <si>
    <t>Pigmentation Treatment</t>
  </si>
  <si>
    <t>Luxury Facials</t>
  </si>
  <si>
    <t>Vedic / Vediline</t>
  </si>
  <si>
    <t>O3+ Power Mask</t>
  </si>
  <si>
    <t>Kanpeki Hydra</t>
  </si>
  <si>
    <t>O3+ Bridal</t>
  </si>
  <si>
    <t>(unreadable service name)</t>
  </si>
  <si>
    <t>Price fully covered/illegible in source photo - please fill in</t>
  </si>
  <si>
    <t>Korean</t>
  </si>
  <si>
    <t>Kanpeki Blanch</t>
  </si>
  <si>
    <t>Casmara</t>
  </si>
  <si>
    <t>D-Tan</t>
  </si>
  <si>
    <t>Aroma</t>
  </si>
  <si>
    <t>Skin Master</t>
  </si>
  <si>
    <t>Manicure</t>
  </si>
  <si>
    <t>Regular</t>
  </si>
  <si>
    <t>Deluxe</t>
  </si>
  <si>
    <t>Blossom</t>
  </si>
  <si>
    <t>Raga</t>
  </si>
  <si>
    <t>Pedicure</t>
  </si>
  <si>
    <t>Hair Cut</t>
  </si>
  <si>
    <t>Straight</t>
  </si>
  <si>
    <t>U-Cut</t>
  </si>
  <si>
    <t>V-Cut</t>
  </si>
  <si>
    <t>Blunt</t>
  </si>
  <si>
    <t>Step</t>
  </si>
  <si>
    <t>Layer</t>
  </si>
  <si>
    <t>Hair Wash</t>
  </si>
  <si>
    <t>Shampoo</t>
  </si>
  <si>
    <t>Shampoo + Conditioner</t>
  </si>
  <si>
    <t>Shampoo + Conditioner + Blow Dryer</t>
  </si>
  <si>
    <t>Hair Spa (per sitting)</t>
  </si>
  <si>
    <t>Herbal</t>
  </si>
  <si>
    <t>Loreal</t>
  </si>
  <si>
    <t>Matrix</t>
  </si>
  <si>
    <t>Hair Fall Treatment</t>
  </si>
  <si>
    <t>Damage Hair</t>
  </si>
  <si>
    <t>Keratin</t>
  </si>
  <si>
    <t>Hair Service</t>
  </si>
  <si>
    <t>Hair Ironing</t>
  </si>
  <si>
    <t>Colour Highlightning</t>
  </si>
  <si>
    <t>Botox</t>
  </si>
  <si>
    <t>Smoothing</t>
  </si>
  <si>
    <t>Smoothing Loreal</t>
  </si>
  <si>
    <t>Keratin GK</t>
  </si>
  <si>
    <t>NA /  Only in Geetanjali salons</t>
  </si>
  <si>
    <t>Colour Touch Up</t>
  </si>
  <si>
    <t>Streax</t>
  </si>
  <si>
    <t>Inova</t>
  </si>
  <si>
    <t>Global Colour</t>
  </si>
  <si>
    <t>Massage - Head</t>
  </si>
  <si>
    <t>Coconut</t>
  </si>
  <si>
    <t>Almond</t>
  </si>
  <si>
    <t>Olive</t>
  </si>
  <si>
    <t>Massage - Foot</t>
  </si>
  <si>
    <t>Massage - Body</t>
  </si>
  <si>
    <t>Body Ubtan</t>
  </si>
  <si>
    <t>Body Polish</t>
  </si>
  <si>
    <t>Make-Up</t>
  </si>
  <si>
    <t>Saree Draping</t>
  </si>
  <si>
    <t>Tier 1</t>
  </si>
  <si>
    <t>Tier 2</t>
  </si>
  <si>
    <t>Tier 3</t>
  </si>
  <si>
    <t>Hair Style</t>
  </si>
  <si>
    <t>Party</t>
  </si>
  <si>
    <t>Pre Bridal</t>
  </si>
  <si>
    <t>Based on Work</t>
  </si>
  <si>
    <t>Bridal</t>
  </si>
  <si>
    <t>Packages</t>
  </si>
  <si>
    <t>Package 1: Fruit Facial, Fruit Bleach, Arm Wax, Threading, Upper Lips</t>
  </si>
  <si>
    <t>Package 2: Papaya Facial, Arm Wax, Half Leg Wax, Threading, Upper Lips</t>
  </si>
  <si>
    <t>Package 3: Oxy/Gold/Pearl/Rose Facial, Fruit Bleach, Full Arm Wax, Half Leg Wax, Threading, Upper Lips</t>
  </si>
  <si>
    <t>Package 4: Sara/Glow/Flower Facial, Oxy Bleach, Full Arm Wax, Full Leg Wax (White Chocolate), Threading, Upper Lips</t>
  </si>
  <si>
    <t>Package 5: Skin Facial, Oxy Bleach, Full Arm Wax, Full Leg Wax (Rica), Manicure, Pedicure, Threading, Upper Lips</t>
  </si>
  <si>
    <t>Package 6: Skin Glow Facial, Oxy Bleach, Full Arm Wax, Full Leg Wax (Rica), Deluxe Manicure, Pedicure, Head Massage, Threading, Upper Lips</t>
  </si>
  <si>
    <t>SALON-WIDE TOTAL / AVERAGE</t>
  </si>
  <si>
    <t>Averages/totals for Cost, Profit and Margin only include rows where you have entered a Cost per Service on the 'Price List &amp; Margins' tab. Fill in more costs there to make this summary more complete.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</si>
</sst>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Rs. &quot;#,##0"/>
    <numFmt numFmtId="165" formatCode="&quot;Rs. &quot;#,##0;&quot;(Rs. &quot;#,##0\);\-"/>
    <numFmt numFmtId="166" formatCode="0.0%"/>
  </numFmts>
  <fonts count="10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rgb="FFFFFFFF"/>
      <name val="Arial"/>
    </font>
    <font>
      <sz val="11.0"/>
      <color theme="1"/>
      <name val="Calibri"/>
    </font>
    <font>
      <b/>
      <sz val="16.0"/>
      <color rgb="FF1F3864"/>
      <name val="Arial"/>
    </font>
    <font>
      <sz val="11.0"/>
      <color theme="1"/>
      <name val="Arial"/>
    </font>
    <font>
      <b/>
      <sz val="11.0"/>
      <color theme="1"/>
      <name val="Arial"/>
    </font>
    <font>
      <sz val="11.0"/>
      <color rgb="FF0000FF"/>
      <name val="Arial"/>
    </font>
    <font>
      <sz val="11.0"/>
      <color rgb="FF000000"/>
      <name val="Arial"/>
    </font>
    <font>
      <i/>
      <sz val="9.0"/>
      <color rgb="FF80808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E1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14" xfId="0" applyFont="1" applyNumberFormat="1"/>
    <xf borderId="0" fillId="0" fontId="1" numFmtId="0" xfId="0" applyAlignment="1" applyFont="1">
      <alignment readingOrder="0"/>
    </xf>
    <xf borderId="0" fillId="0" fontId="4" numFmtId="0" xfId="0" applyFont="1"/>
    <xf borderId="1" fillId="0" fontId="5" numFmtId="0" xfId="0" applyAlignment="1" applyBorder="1" applyFont="1">
      <alignment vertical="center"/>
    </xf>
    <xf borderId="0" fillId="0" fontId="6" numFmtId="0" xfId="0" applyAlignment="1" applyFont="1">
      <alignment shrinkToFit="0" vertical="top" wrapText="1"/>
    </xf>
    <xf borderId="1" fillId="0" fontId="5" numFmtId="0" xfId="0" applyAlignment="1" applyBorder="1" applyFont="1">
      <alignment shrinkToFit="0" vertical="center" wrapText="1"/>
    </xf>
    <xf borderId="0" fillId="0" fontId="5" numFmtId="0" xfId="0" applyAlignment="1" applyFont="1">
      <alignment shrinkToFit="0" vertical="top" wrapText="1"/>
    </xf>
    <xf borderId="1" fillId="0" fontId="7" numFmtId="164" xfId="0" applyAlignment="1" applyBorder="1" applyFont="1" applyNumberFormat="1">
      <alignment vertical="center"/>
    </xf>
    <xf borderId="1" fillId="3" fontId="7" numFmtId="164" xfId="0" applyAlignment="1" applyBorder="1" applyFill="1" applyFont="1" applyNumberFormat="1">
      <alignment vertical="center"/>
    </xf>
    <xf borderId="1" fillId="0" fontId="8" numFmtId="0" xfId="0" applyAlignment="1" applyBorder="1" applyFont="1">
      <alignment vertical="center"/>
    </xf>
    <xf borderId="1" fillId="0" fontId="8" numFmtId="165" xfId="0" applyAlignment="1" applyBorder="1" applyFont="1" applyNumberFormat="1">
      <alignment vertical="center"/>
    </xf>
    <xf borderId="1" fillId="0" fontId="8" numFmtId="164" xfId="0" applyAlignment="1" applyBorder="1" applyFont="1" applyNumberFormat="1">
      <alignment vertical="center"/>
    </xf>
    <xf borderId="1" fillId="0" fontId="8" numFmtId="166" xfId="0" applyAlignment="1" applyBorder="1" applyFont="1" applyNumberFormat="1">
      <alignment vertical="center"/>
    </xf>
    <xf borderId="1" fillId="0" fontId="9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vertical="center"/>
    </xf>
    <xf borderId="1" fillId="4" fontId="6" numFmtId="0" xfId="0" applyAlignment="1" applyBorder="1" applyFill="1" applyFont="1">
      <alignment vertical="center"/>
    </xf>
    <xf borderId="1" fillId="4" fontId="6" numFmtId="164" xfId="0" applyAlignment="1" applyBorder="1" applyFill="1" applyFont="1" applyNumberFormat="1">
      <alignment vertical="center"/>
    </xf>
    <xf borderId="1" fillId="4" fontId="6" numFmtId="166" xfId="0" applyAlignment="1" applyBorder="1" applyFill="1" applyFont="1" applyNumberFormat="1">
      <alignment vertical="center"/>
    </xf>
    <xf borderId="0" fillId="0" fontId="9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0.0"/>
    <col customWidth="1" min="2" max="26" width="8.57"/>
  </cols>
  <sheetData>
    <row r="1" ht="14.25" customHeight="1">
      <c r="A1" s="5" t="s">
        <v>2</v>
      </c>
    </row>
    <row r="2" ht="14.25" customHeight="1"/>
    <row r="3" ht="14.25" customHeight="1">
      <c r="A3" s="7" t="s">
        <v>24</v>
      </c>
    </row>
    <row r="4" ht="14.25" customHeight="1">
      <c r="A4" s="7"/>
    </row>
    <row r="5" ht="14.25" customHeight="1">
      <c r="A5" s="9" t="s">
        <v>27</v>
      </c>
    </row>
    <row r="6" ht="14.25" customHeight="1">
      <c r="A6" s="9" t="s">
        <v>29</v>
      </c>
    </row>
    <row r="7" ht="14.25" customHeight="1">
      <c r="A7" s="9" t="s">
        <v>30</v>
      </c>
    </row>
    <row r="8" ht="14.25" customHeight="1">
      <c r="A8" s="9" t="s">
        <v>31</v>
      </c>
    </row>
    <row r="9" ht="14.25" customHeight="1">
      <c r="A9" s="7"/>
    </row>
    <row r="10" ht="14.25" customHeight="1">
      <c r="A10" s="7" t="s">
        <v>32</v>
      </c>
    </row>
    <row r="11" ht="14.25" customHeight="1">
      <c r="A11" s="9" t="s">
        <v>33</v>
      </c>
    </row>
    <row r="12" ht="14.25" customHeight="1">
      <c r="A12" s="9" t="s">
        <v>34</v>
      </c>
    </row>
    <row r="13" ht="14.25" customHeight="1">
      <c r="A13" s="9" t="s">
        <v>35</v>
      </c>
    </row>
    <row r="14" ht="14.25" customHeight="1">
      <c r="A14" s="7"/>
    </row>
    <row r="15" ht="14.25" customHeight="1">
      <c r="A15" s="7" t="s">
        <v>36</v>
      </c>
    </row>
    <row r="16" ht="14.25" customHeight="1">
      <c r="A16" s="9" t="s">
        <v>37</v>
      </c>
    </row>
    <row r="17" ht="14.25" customHeight="1">
      <c r="A17" s="9" t="s">
        <v>38</v>
      </c>
    </row>
    <row r="18" ht="14.25" customHeight="1">
      <c r="A18" s="9" t="s">
        <v>39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>
      <c r="A24" s="1" t="s">
        <v>40</v>
      </c>
    </row>
    <row r="25" ht="14.25" customHeight="1"/>
    <row r="26" ht="14.25" customHeight="1">
      <c r="A26" s="1" t="s">
        <v>7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40.0"/>
    <col customWidth="1" min="3" max="3" width="16.0"/>
    <col customWidth="1" min="4" max="4" width="18.0"/>
    <col customWidth="1" min="5" max="5" width="20.0"/>
    <col customWidth="1" min="6" max="6" width="14.0"/>
    <col customWidth="1" min="7" max="7" width="12.0"/>
    <col customWidth="1" min="8" max="8" width="45.0"/>
    <col customWidth="1" min="9" max="26" width="8.57"/>
  </cols>
  <sheetData>
    <row r="1" ht="14.25" customHeight="1">
      <c r="A1" s="2" t="s">
        <v>1</v>
      </c>
      <c r="B1" s="2" t="s">
        <v>14</v>
      </c>
      <c r="C1" s="2" t="s">
        <v>16</v>
      </c>
      <c r="D1" s="2" t="s">
        <v>18</v>
      </c>
      <c r="E1" s="2" t="s">
        <v>20</v>
      </c>
      <c r="F1" s="2" t="s">
        <v>22</v>
      </c>
      <c r="G1" s="2" t="s">
        <v>23</v>
      </c>
      <c r="H1" s="2" t="s">
        <v>25</v>
      </c>
    </row>
    <row r="2" ht="14.25" customHeight="1">
      <c r="A2" s="6" t="s">
        <v>21</v>
      </c>
      <c r="B2" s="8" t="s">
        <v>26</v>
      </c>
      <c r="C2" s="8"/>
      <c r="D2" s="10">
        <v>30.0</v>
      </c>
      <c r="E2" s="11">
        <v>5.0</v>
      </c>
      <c r="F2" s="13">
        <f t="shared" ref="F2:F163" si="1">IF(E2="","",D2-E2)</f>
        <v>25</v>
      </c>
      <c r="G2" s="15">
        <f t="shared" ref="G2:G163" si="2">IFERROR(IF(E2="","",F2/D2),"")</f>
        <v>0.8333333333</v>
      </c>
      <c r="H2" s="16"/>
    </row>
    <row r="3" ht="14.25" customHeight="1">
      <c r="A3" s="6" t="s">
        <v>21</v>
      </c>
      <c r="B3" s="8" t="s">
        <v>41</v>
      </c>
      <c r="C3" s="8"/>
      <c r="D3" s="10">
        <v>50.0</v>
      </c>
      <c r="E3" s="11">
        <v>5.0</v>
      </c>
      <c r="F3" s="13">
        <f t="shared" si="1"/>
        <v>45</v>
      </c>
      <c r="G3" s="15">
        <f t="shared" si="2"/>
        <v>0.9</v>
      </c>
      <c r="H3" s="16"/>
    </row>
    <row r="4" ht="14.25" customHeight="1">
      <c r="A4" s="6" t="s">
        <v>21</v>
      </c>
      <c r="B4" s="8" t="s">
        <v>42</v>
      </c>
      <c r="C4" s="8"/>
      <c r="D4" s="10">
        <v>30.0</v>
      </c>
      <c r="E4" s="11">
        <v>5.0</v>
      </c>
      <c r="F4" s="13">
        <f t="shared" si="1"/>
        <v>25</v>
      </c>
      <c r="G4" s="15">
        <f t="shared" si="2"/>
        <v>0.8333333333</v>
      </c>
      <c r="H4" s="16"/>
    </row>
    <row r="5" ht="14.25" customHeight="1">
      <c r="A5" s="6" t="s">
        <v>21</v>
      </c>
      <c r="B5" s="8" t="s">
        <v>43</v>
      </c>
      <c r="C5" s="8"/>
      <c r="D5" s="10">
        <v>50.0</v>
      </c>
      <c r="E5" s="11">
        <v>5.0</v>
      </c>
      <c r="F5" s="13">
        <f t="shared" si="1"/>
        <v>45</v>
      </c>
      <c r="G5" s="15">
        <f t="shared" si="2"/>
        <v>0.9</v>
      </c>
      <c r="H5" s="16"/>
    </row>
    <row r="6" ht="14.25" customHeight="1">
      <c r="A6" s="6" t="s">
        <v>21</v>
      </c>
      <c r="B6" s="8" t="s">
        <v>44</v>
      </c>
      <c r="C6" s="8"/>
      <c r="D6" s="10">
        <v>30.0</v>
      </c>
      <c r="E6" s="11">
        <v>5.0</v>
      </c>
      <c r="F6" s="13">
        <f t="shared" si="1"/>
        <v>25</v>
      </c>
      <c r="G6" s="15">
        <f t="shared" si="2"/>
        <v>0.8333333333</v>
      </c>
      <c r="H6" s="16"/>
    </row>
    <row r="7" ht="14.25" customHeight="1">
      <c r="A7" s="6" t="s">
        <v>21</v>
      </c>
      <c r="B7" s="8" t="s">
        <v>45</v>
      </c>
      <c r="C7" s="8"/>
      <c r="D7" s="10">
        <v>250.0</v>
      </c>
      <c r="E7" s="11">
        <v>15.0</v>
      </c>
      <c r="F7" s="13">
        <f t="shared" si="1"/>
        <v>235</v>
      </c>
      <c r="G7" s="15">
        <f t="shared" si="2"/>
        <v>0.94</v>
      </c>
      <c r="H7" s="16"/>
    </row>
    <row r="8" ht="14.25" customHeight="1">
      <c r="A8" s="6" t="s">
        <v>46</v>
      </c>
      <c r="B8" s="8" t="s">
        <v>26</v>
      </c>
      <c r="C8" s="8"/>
      <c r="D8" s="10">
        <v>50.0</v>
      </c>
      <c r="E8" s="11">
        <v>5.0</v>
      </c>
      <c r="F8" s="13">
        <f t="shared" si="1"/>
        <v>45</v>
      </c>
      <c r="G8" s="15">
        <f t="shared" si="2"/>
        <v>0.9</v>
      </c>
      <c r="H8" s="16"/>
    </row>
    <row r="9" ht="14.25" customHeight="1">
      <c r="A9" s="6" t="s">
        <v>46</v>
      </c>
      <c r="B9" s="8" t="s">
        <v>41</v>
      </c>
      <c r="C9" s="8"/>
      <c r="D9" s="10">
        <v>100.0</v>
      </c>
      <c r="E9" s="11">
        <v>5.0</v>
      </c>
      <c r="F9" s="13">
        <f t="shared" si="1"/>
        <v>95</v>
      </c>
      <c r="G9" s="15">
        <f t="shared" si="2"/>
        <v>0.95</v>
      </c>
      <c r="H9" s="16"/>
    </row>
    <row r="10" ht="14.25" customHeight="1">
      <c r="A10" s="6" t="s">
        <v>46</v>
      </c>
      <c r="B10" s="8" t="s">
        <v>42</v>
      </c>
      <c r="C10" s="8"/>
      <c r="D10" s="10">
        <v>50.0</v>
      </c>
      <c r="E10" s="11">
        <v>5.0</v>
      </c>
      <c r="F10" s="13">
        <f t="shared" si="1"/>
        <v>45</v>
      </c>
      <c r="G10" s="15">
        <f t="shared" si="2"/>
        <v>0.9</v>
      </c>
      <c r="H10" s="16"/>
    </row>
    <row r="11" ht="14.25" customHeight="1">
      <c r="A11" s="6" t="s">
        <v>46</v>
      </c>
      <c r="B11" s="8" t="s">
        <v>43</v>
      </c>
      <c r="C11" s="8"/>
      <c r="D11" s="10">
        <v>50.0</v>
      </c>
      <c r="E11" s="11">
        <v>5.0</v>
      </c>
      <c r="F11" s="13">
        <f t="shared" si="1"/>
        <v>45</v>
      </c>
      <c r="G11" s="15">
        <f t="shared" si="2"/>
        <v>0.9</v>
      </c>
      <c r="H11" s="16"/>
    </row>
    <row r="12" ht="14.25" customHeight="1">
      <c r="A12" s="6" t="s">
        <v>46</v>
      </c>
      <c r="B12" s="8" t="s">
        <v>44</v>
      </c>
      <c r="C12" s="8"/>
      <c r="D12" s="10">
        <v>50.0</v>
      </c>
      <c r="E12" s="11">
        <v>5.0</v>
      </c>
      <c r="F12" s="13">
        <f t="shared" si="1"/>
        <v>45</v>
      </c>
      <c r="G12" s="15">
        <f t="shared" si="2"/>
        <v>0.9</v>
      </c>
      <c r="H12" s="16"/>
    </row>
    <row r="13" ht="14.25" customHeight="1">
      <c r="A13" s="6" t="s">
        <v>46</v>
      </c>
      <c r="B13" s="8" t="s">
        <v>45</v>
      </c>
      <c r="C13" s="8"/>
      <c r="D13" s="10">
        <v>400.0</v>
      </c>
      <c r="E13" s="11">
        <v>50.0</v>
      </c>
      <c r="F13" s="13">
        <f t="shared" si="1"/>
        <v>350</v>
      </c>
      <c r="G13" s="15">
        <f t="shared" si="2"/>
        <v>0.875</v>
      </c>
      <c r="H13" s="16"/>
    </row>
    <row r="14" ht="14.25" customHeight="1">
      <c r="A14" s="6" t="s">
        <v>47</v>
      </c>
      <c r="B14" s="8" t="s">
        <v>48</v>
      </c>
      <c r="C14" s="8" t="s">
        <v>49</v>
      </c>
      <c r="D14" s="10">
        <v>250.0</v>
      </c>
      <c r="E14" s="11">
        <v>10.0</v>
      </c>
      <c r="F14" s="13">
        <f t="shared" si="1"/>
        <v>240</v>
      </c>
      <c r="G14" s="15">
        <f t="shared" si="2"/>
        <v>0.96</v>
      </c>
      <c r="H14" s="16"/>
    </row>
    <row r="15" ht="14.25" customHeight="1">
      <c r="A15" s="6" t="s">
        <v>47</v>
      </c>
      <c r="B15" s="8" t="s">
        <v>48</v>
      </c>
      <c r="C15" s="8" t="s">
        <v>50</v>
      </c>
      <c r="D15" s="10">
        <v>250.0</v>
      </c>
      <c r="E15" s="11">
        <v>10.0</v>
      </c>
      <c r="F15" s="13">
        <f t="shared" si="1"/>
        <v>240</v>
      </c>
      <c r="G15" s="15">
        <f t="shared" si="2"/>
        <v>0.96</v>
      </c>
      <c r="H15" s="16"/>
    </row>
    <row r="16" ht="14.25" customHeight="1">
      <c r="A16" s="6" t="s">
        <v>47</v>
      </c>
      <c r="B16" s="8" t="s">
        <v>48</v>
      </c>
      <c r="C16" s="8" t="s">
        <v>51</v>
      </c>
      <c r="D16" s="10">
        <v>300.0</v>
      </c>
      <c r="E16" s="11">
        <v>10.0</v>
      </c>
      <c r="F16" s="13">
        <f t="shared" si="1"/>
        <v>290</v>
      </c>
      <c r="G16" s="15">
        <f t="shared" si="2"/>
        <v>0.9666666667</v>
      </c>
      <c r="H16" s="16" t="s">
        <v>52</v>
      </c>
    </row>
    <row r="17" ht="14.25" customHeight="1">
      <c r="A17" s="6" t="s">
        <v>47</v>
      </c>
      <c r="B17" s="8" t="s">
        <v>53</v>
      </c>
      <c r="C17" s="8" t="s">
        <v>49</v>
      </c>
      <c r="D17" s="10">
        <v>200.0</v>
      </c>
      <c r="E17" s="11">
        <v>10.0</v>
      </c>
      <c r="F17" s="13">
        <f t="shared" si="1"/>
        <v>190</v>
      </c>
      <c r="G17" s="15">
        <f t="shared" si="2"/>
        <v>0.95</v>
      </c>
      <c r="H17" s="16"/>
    </row>
    <row r="18" ht="14.25" customHeight="1">
      <c r="A18" s="6" t="s">
        <v>47</v>
      </c>
      <c r="B18" s="8" t="s">
        <v>53</v>
      </c>
      <c r="C18" s="8" t="s">
        <v>50</v>
      </c>
      <c r="D18" s="10">
        <v>250.0</v>
      </c>
      <c r="E18" s="11">
        <v>10.0</v>
      </c>
      <c r="F18" s="13">
        <f t="shared" si="1"/>
        <v>240</v>
      </c>
      <c r="G18" s="15">
        <f t="shared" si="2"/>
        <v>0.96</v>
      </c>
      <c r="H18" s="16"/>
    </row>
    <row r="19" ht="14.25" customHeight="1">
      <c r="A19" s="6" t="s">
        <v>47</v>
      </c>
      <c r="B19" s="8" t="s">
        <v>53</v>
      </c>
      <c r="C19" s="8" t="s">
        <v>51</v>
      </c>
      <c r="D19" s="10">
        <v>300.0</v>
      </c>
      <c r="E19" s="11">
        <v>10.0</v>
      </c>
      <c r="F19" s="13">
        <f t="shared" si="1"/>
        <v>290</v>
      </c>
      <c r="G19" s="15">
        <f t="shared" si="2"/>
        <v>0.9666666667</v>
      </c>
      <c r="H19" s="16"/>
    </row>
    <row r="20" ht="14.25" customHeight="1">
      <c r="A20" s="6" t="s">
        <v>47</v>
      </c>
      <c r="B20" s="8" t="s">
        <v>54</v>
      </c>
      <c r="C20" s="8" t="s">
        <v>49</v>
      </c>
      <c r="D20" s="10">
        <v>200.0</v>
      </c>
      <c r="E20" s="11">
        <v>10.0</v>
      </c>
      <c r="F20" s="13">
        <f t="shared" si="1"/>
        <v>190</v>
      </c>
      <c r="G20" s="15">
        <f t="shared" si="2"/>
        <v>0.95</v>
      </c>
      <c r="H20" s="16"/>
    </row>
    <row r="21" ht="14.25" customHeight="1">
      <c r="A21" s="6" t="s">
        <v>47</v>
      </c>
      <c r="B21" s="8" t="s">
        <v>54</v>
      </c>
      <c r="C21" s="8" t="s">
        <v>50</v>
      </c>
      <c r="D21" s="10">
        <v>250.0</v>
      </c>
      <c r="E21" s="11">
        <v>10.0</v>
      </c>
      <c r="F21" s="13">
        <f t="shared" si="1"/>
        <v>240</v>
      </c>
      <c r="G21" s="15">
        <f t="shared" si="2"/>
        <v>0.96</v>
      </c>
      <c r="H21" s="16"/>
    </row>
    <row r="22" ht="14.25" customHeight="1">
      <c r="A22" s="6" t="s">
        <v>47</v>
      </c>
      <c r="B22" s="8" t="s">
        <v>54</v>
      </c>
      <c r="C22" s="8" t="s">
        <v>51</v>
      </c>
      <c r="D22" s="10">
        <v>300.0</v>
      </c>
      <c r="E22" s="11">
        <v>10.0</v>
      </c>
      <c r="F22" s="13">
        <f t="shared" si="1"/>
        <v>290</v>
      </c>
      <c r="G22" s="15">
        <f t="shared" si="2"/>
        <v>0.9666666667</v>
      </c>
      <c r="H22" s="16"/>
    </row>
    <row r="23" ht="14.25" customHeight="1">
      <c r="A23" s="6" t="s">
        <v>47</v>
      </c>
      <c r="B23" s="8" t="s">
        <v>55</v>
      </c>
      <c r="C23" s="8" t="s">
        <v>49</v>
      </c>
      <c r="D23" s="10">
        <v>350.0</v>
      </c>
      <c r="E23" s="11">
        <v>10.0</v>
      </c>
      <c r="F23" s="13">
        <f t="shared" si="1"/>
        <v>340</v>
      </c>
      <c r="G23" s="15">
        <f t="shared" si="2"/>
        <v>0.9714285714</v>
      </c>
      <c r="H23" s="16"/>
    </row>
    <row r="24" ht="14.25" customHeight="1">
      <c r="A24" s="6" t="s">
        <v>47</v>
      </c>
      <c r="B24" s="8" t="s">
        <v>55</v>
      </c>
      <c r="C24" s="8" t="s">
        <v>50</v>
      </c>
      <c r="D24" s="10">
        <v>400.0</v>
      </c>
      <c r="E24" s="11">
        <v>10.0</v>
      </c>
      <c r="F24" s="13">
        <f t="shared" si="1"/>
        <v>390</v>
      </c>
      <c r="G24" s="15">
        <f t="shared" si="2"/>
        <v>0.975</v>
      </c>
      <c r="H24" s="16"/>
    </row>
    <row r="25" ht="14.25" customHeight="1">
      <c r="A25" s="6" t="s">
        <v>47</v>
      </c>
      <c r="B25" s="8" t="s">
        <v>55</v>
      </c>
      <c r="C25" s="8" t="s">
        <v>51</v>
      </c>
      <c r="D25" s="10">
        <v>450.0</v>
      </c>
      <c r="E25" s="11">
        <v>10.0</v>
      </c>
      <c r="F25" s="13">
        <f t="shared" si="1"/>
        <v>440</v>
      </c>
      <c r="G25" s="15">
        <f t="shared" si="2"/>
        <v>0.9777777778</v>
      </c>
      <c r="H25" s="16"/>
    </row>
    <row r="26" ht="14.25" customHeight="1">
      <c r="A26" s="6" t="s">
        <v>47</v>
      </c>
      <c r="B26" s="8" t="s">
        <v>72</v>
      </c>
      <c r="C26" s="8" t="s">
        <v>49</v>
      </c>
      <c r="D26" s="10">
        <v>350.0</v>
      </c>
      <c r="E26" s="11">
        <v>10.0</v>
      </c>
      <c r="F26" s="13">
        <f t="shared" si="1"/>
        <v>340</v>
      </c>
      <c r="G26" s="15">
        <f t="shared" si="2"/>
        <v>0.9714285714</v>
      </c>
      <c r="H26" s="16"/>
    </row>
    <row r="27" ht="14.25" customHeight="1">
      <c r="A27" s="6" t="s">
        <v>47</v>
      </c>
      <c r="B27" s="8" t="s">
        <v>72</v>
      </c>
      <c r="C27" s="8" t="s">
        <v>50</v>
      </c>
      <c r="D27" s="10">
        <v>400.0</v>
      </c>
      <c r="E27" s="11">
        <v>10.0</v>
      </c>
      <c r="F27" s="13">
        <f t="shared" si="1"/>
        <v>390</v>
      </c>
      <c r="G27" s="15">
        <f t="shared" si="2"/>
        <v>0.975</v>
      </c>
      <c r="H27" s="16"/>
    </row>
    <row r="28" ht="14.25" customHeight="1">
      <c r="A28" s="6" t="s">
        <v>47</v>
      </c>
      <c r="B28" s="8" t="s">
        <v>72</v>
      </c>
      <c r="C28" s="8" t="s">
        <v>51</v>
      </c>
      <c r="D28" s="10">
        <v>450.0</v>
      </c>
      <c r="E28" s="11">
        <v>10.0</v>
      </c>
      <c r="F28" s="13">
        <f t="shared" si="1"/>
        <v>440</v>
      </c>
      <c r="G28" s="15">
        <f t="shared" si="2"/>
        <v>0.9777777778</v>
      </c>
      <c r="H28" s="16"/>
    </row>
    <row r="29" ht="14.25" customHeight="1">
      <c r="A29" s="6" t="s">
        <v>47</v>
      </c>
      <c r="B29" s="8" t="s">
        <v>92</v>
      </c>
      <c r="C29" s="8" t="s">
        <v>49</v>
      </c>
      <c r="D29" s="10">
        <v>350.0</v>
      </c>
      <c r="E29" s="11">
        <v>10.0</v>
      </c>
      <c r="F29" s="13">
        <f t="shared" si="1"/>
        <v>340</v>
      </c>
      <c r="G29" s="15">
        <f t="shared" si="2"/>
        <v>0.9714285714</v>
      </c>
      <c r="H29" s="16"/>
    </row>
    <row r="30" ht="14.25" customHeight="1">
      <c r="A30" s="6" t="s">
        <v>47</v>
      </c>
      <c r="B30" s="8" t="s">
        <v>92</v>
      </c>
      <c r="C30" s="8" t="s">
        <v>50</v>
      </c>
      <c r="D30" s="10">
        <v>400.0</v>
      </c>
      <c r="E30" s="11">
        <v>10.0</v>
      </c>
      <c r="F30" s="13">
        <f t="shared" si="1"/>
        <v>390</v>
      </c>
      <c r="G30" s="15">
        <f t="shared" si="2"/>
        <v>0.975</v>
      </c>
      <c r="H30" s="16"/>
    </row>
    <row r="31" ht="14.25" customHeight="1">
      <c r="A31" s="6" t="s">
        <v>47</v>
      </c>
      <c r="B31" s="8" t="s">
        <v>92</v>
      </c>
      <c r="C31" s="8" t="s">
        <v>51</v>
      </c>
      <c r="D31" s="17"/>
      <c r="E31" s="11">
        <v>10.0</v>
      </c>
      <c r="F31" s="13">
        <f t="shared" si="1"/>
        <v>-10</v>
      </c>
      <c r="G31" s="15" t="str">
        <f t="shared" si="2"/>
        <v/>
      </c>
      <c r="H31" s="16" t="s">
        <v>96</v>
      </c>
    </row>
    <row r="32" ht="14.25" customHeight="1">
      <c r="A32" s="6" t="s">
        <v>47</v>
      </c>
      <c r="B32" s="8" t="s">
        <v>97</v>
      </c>
      <c r="C32" s="8" t="s">
        <v>49</v>
      </c>
      <c r="D32" s="10">
        <v>400.0</v>
      </c>
      <c r="E32" s="11">
        <v>10.0</v>
      </c>
      <c r="F32" s="13">
        <f t="shared" si="1"/>
        <v>390</v>
      </c>
      <c r="G32" s="15">
        <f t="shared" si="2"/>
        <v>0.975</v>
      </c>
      <c r="H32" s="16"/>
    </row>
    <row r="33" ht="14.25" customHeight="1">
      <c r="A33" s="6" t="s">
        <v>47</v>
      </c>
      <c r="B33" s="8" t="s">
        <v>97</v>
      </c>
      <c r="C33" s="8" t="s">
        <v>50</v>
      </c>
      <c r="D33" s="10">
        <v>450.0</v>
      </c>
      <c r="E33" s="11">
        <v>10.0</v>
      </c>
      <c r="F33" s="13">
        <f t="shared" si="1"/>
        <v>440</v>
      </c>
      <c r="G33" s="15">
        <f t="shared" si="2"/>
        <v>0.9777777778</v>
      </c>
      <c r="H33" s="16"/>
    </row>
    <row r="34" ht="14.25" customHeight="1">
      <c r="A34" s="6" t="s">
        <v>47</v>
      </c>
      <c r="B34" s="8" t="s">
        <v>97</v>
      </c>
      <c r="C34" s="8" t="s">
        <v>51</v>
      </c>
      <c r="D34" s="17"/>
      <c r="E34" s="11">
        <v>10.0</v>
      </c>
      <c r="F34" s="13">
        <f t="shared" si="1"/>
        <v>-10</v>
      </c>
      <c r="G34" s="15" t="str">
        <f t="shared" si="2"/>
        <v/>
      </c>
      <c r="H34" s="16" t="s">
        <v>96</v>
      </c>
    </row>
    <row r="35" ht="14.25" customHeight="1">
      <c r="A35" s="6" t="s">
        <v>47</v>
      </c>
      <c r="B35" s="8" t="s">
        <v>98</v>
      </c>
      <c r="C35" s="8" t="s">
        <v>49</v>
      </c>
      <c r="D35" s="10">
        <v>1000.0</v>
      </c>
      <c r="E35" s="11">
        <v>30.0</v>
      </c>
      <c r="F35" s="13">
        <f t="shared" si="1"/>
        <v>970</v>
      </c>
      <c r="G35" s="15">
        <f t="shared" si="2"/>
        <v>0.97</v>
      </c>
      <c r="H35" s="16"/>
    </row>
    <row r="36" ht="14.25" customHeight="1">
      <c r="A36" s="6" t="s">
        <v>47</v>
      </c>
      <c r="B36" s="8" t="s">
        <v>98</v>
      </c>
      <c r="C36" s="8" t="s">
        <v>50</v>
      </c>
      <c r="D36" s="10">
        <v>1200.0</v>
      </c>
      <c r="E36" s="11">
        <v>30.0</v>
      </c>
      <c r="F36" s="13">
        <f t="shared" si="1"/>
        <v>1170</v>
      </c>
      <c r="G36" s="15">
        <f t="shared" si="2"/>
        <v>0.975</v>
      </c>
      <c r="H36" s="16"/>
    </row>
    <row r="37" ht="14.25" customHeight="1">
      <c r="A37" s="6" t="s">
        <v>47</v>
      </c>
      <c r="B37" s="8" t="s">
        <v>98</v>
      </c>
      <c r="C37" s="8" t="s">
        <v>51</v>
      </c>
      <c r="D37" s="10">
        <v>1500.0</v>
      </c>
      <c r="E37" s="11">
        <v>30.0</v>
      </c>
      <c r="F37" s="13">
        <f t="shared" si="1"/>
        <v>1470</v>
      </c>
      <c r="G37" s="15">
        <f t="shared" si="2"/>
        <v>0.98</v>
      </c>
      <c r="H37" s="16"/>
    </row>
    <row r="38" ht="14.25" customHeight="1">
      <c r="A38" s="6" t="s">
        <v>99</v>
      </c>
      <c r="B38" s="8" t="s">
        <v>100</v>
      </c>
      <c r="C38" s="8"/>
      <c r="D38" s="10">
        <v>500.0</v>
      </c>
      <c r="E38" s="11">
        <v>30.0</v>
      </c>
      <c r="F38" s="13">
        <f t="shared" si="1"/>
        <v>470</v>
      </c>
      <c r="G38" s="15">
        <f t="shared" si="2"/>
        <v>0.94</v>
      </c>
      <c r="H38" s="16"/>
    </row>
    <row r="39" ht="14.25" customHeight="1">
      <c r="A39" s="6" t="s">
        <v>99</v>
      </c>
      <c r="B39" s="8" t="s">
        <v>101</v>
      </c>
      <c r="C39" s="8"/>
      <c r="D39" s="10">
        <v>550.0</v>
      </c>
      <c r="E39" s="11">
        <v>30.0</v>
      </c>
      <c r="F39" s="13">
        <f t="shared" si="1"/>
        <v>520</v>
      </c>
      <c r="G39" s="15">
        <f t="shared" si="2"/>
        <v>0.9454545455</v>
      </c>
      <c r="H39" s="16"/>
    </row>
    <row r="40" ht="14.25" customHeight="1">
      <c r="A40" s="6" t="s">
        <v>102</v>
      </c>
      <c r="B40" s="8" t="s">
        <v>103</v>
      </c>
      <c r="C40" s="8" t="s">
        <v>104</v>
      </c>
      <c r="D40" s="10">
        <v>100.0</v>
      </c>
      <c r="E40" s="11">
        <v>20.0</v>
      </c>
      <c r="F40" s="13">
        <f t="shared" si="1"/>
        <v>80</v>
      </c>
      <c r="G40" s="15">
        <f t="shared" si="2"/>
        <v>0.8</v>
      </c>
      <c r="H40" s="16"/>
    </row>
    <row r="41" ht="14.25" customHeight="1">
      <c r="A41" s="6" t="s">
        <v>102</v>
      </c>
      <c r="B41" s="8" t="s">
        <v>103</v>
      </c>
      <c r="C41" s="8" t="s">
        <v>105</v>
      </c>
      <c r="D41" s="10">
        <v>100.0</v>
      </c>
      <c r="E41" s="11">
        <v>20.0</v>
      </c>
      <c r="F41" s="13">
        <f t="shared" si="1"/>
        <v>80</v>
      </c>
      <c r="G41" s="15">
        <f t="shared" si="2"/>
        <v>0.8</v>
      </c>
      <c r="H41" s="16"/>
    </row>
    <row r="42" ht="14.25" customHeight="1">
      <c r="A42" s="6" t="s">
        <v>102</v>
      </c>
      <c r="B42" s="8" t="s">
        <v>103</v>
      </c>
      <c r="C42" s="8" t="s">
        <v>106</v>
      </c>
      <c r="D42" s="10">
        <v>100.0</v>
      </c>
      <c r="E42" s="11">
        <v>20.0</v>
      </c>
      <c r="F42" s="13">
        <f t="shared" si="1"/>
        <v>80</v>
      </c>
      <c r="G42" s="15">
        <f t="shared" si="2"/>
        <v>0.8</v>
      </c>
      <c r="H42" s="16"/>
    </row>
    <row r="43" ht="14.25" customHeight="1">
      <c r="A43" s="6" t="s">
        <v>102</v>
      </c>
      <c r="B43" s="8" t="s">
        <v>92</v>
      </c>
      <c r="C43" s="8" t="s">
        <v>104</v>
      </c>
      <c r="D43" s="10">
        <v>150.0</v>
      </c>
      <c r="E43" s="11">
        <v>20.0</v>
      </c>
      <c r="F43" s="13">
        <f t="shared" si="1"/>
        <v>130</v>
      </c>
      <c r="G43" s="15">
        <f t="shared" si="2"/>
        <v>0.8666666667</v>
      </c>
      <c r="H43" s="16"/>
    </row>
    <row r="44" ht="14.25" customHeight="1">
      <c r="A44" s="6" t="s">
        <v>102</v>
      </c>
      <c r="B44" s="8" t="s">
        <v>92</v>
      </c>
      <c r="C44" s="8" t="s">
        <v>105</v>
      </c>
      <c r="D44" s="10">
        <v>200.0</v>
      </c>
      <c r="E44" s="11">
        <v>20.0</v>
      </c>
      <c r="F44" s="13">
        <f t="shared" si="1"/>
        <v>180</v>
      </c>
      <c r="G44" s="15">
        <f t="shared" si="2"/>
        <v>0.9</v>
      </c>
      <c r="H44" s="16"/>
    </row>
    <row r="45" ht="14.25" customHeight="1">
      <c r="A45" s="6" t="s">
        <v>102</v>
      </c>
      <c r="B45" s="8" t="s">
        <v>92</v>
      </c>
      <c r="C45" s="8" t="s">
        <v>106</v>
      </c>
      <c r="D45" s="10">
        <v>300.0</v>
      </c>
      <c r="E45" s="11">
        <v>20.0</v>
      </c>
      <c r="F45" s="13">
        <f t="shared" si="1"/>
        <v>280</v>
      </c>
      <c r="G45" s="15">
        <f t="shared" si="2"/>
        <v>0.9333333333</v>
      </c>
      <c r="H45" s="16"/>
    </row>
    <row r="46" ht="14.25" customHeight="1">
      <c r="A46" s="6" t="s">
        <v>102</v>
      </c>
      <c r="B46" s="8" t="s">
        <v>107</v>
      </c>
      <c r="C46" s="8" t="s">
        <v>104</v>
      </c>
      <c r="D46" s="10">
        <v>250.0</v>
      </c>
      <c r="E46" s="11">
        <v>20.0</v>
      </c>
      <c r="F46" s="13">
        <f t="shared" si="1"/>
        <v>230</v>
      </c>
      <c r="G46" s="15">
        <f t="shared" si="2"/>
        <v>0.92</v>
      </c>
      <c r="H46" s="16" t="s">
        <v>52</v>
      </c>
    </row>
    <row r="47" ht="14.25" customHeight="1">
      <c r="A47" s="6" t="s">
        <v>102</v>
      </c>
      <c r="B47" s="8" t="s">
        <v>107</v>
      </c>
      <c r="C47" s="8" t="s">
        <v>105</v>
      </c>
      <c r="D47" s="10">
        <v>250.0</v>
      </c>
      <c r="E47" s="11">
        <v>30.0</v>
      </c>
      <c r="F47" s="13">
        <f t="shared" si="1"/>
        <v>220</v>
      </c>
      <c r="G47" s="15">
        <f t="shared" si="2"/>
        <v>0.88</v>
      </c>
      <c r="H47" s="16"/>
    </row>
    <row r="48" ht="14.25" customHeight="1">
      <c r="A48" s="6" t="s">
        <v>102</v>
      </c>
      <c r="B48" s="8" t="s">
        <v>107</v>
      </c>
      <c r="C48" s="8" t="s">
        <v>106</v>
      </c>
      <c r="D48" s="10">
        <v>350.0</v>
      </c>
      <c r="E48" s="11">
        <v>20.0</v>
      </c>
      <c r="F48" s="13">
        <f t="shared" si="1"/>
        <v>330</v>
      </c>
      <c r="G48" s="15">
        <f t="shared" si="2"/>
        <v>0.9428571429</v>
      </c>
      <c r="H48" s="16"/>
    </row>
    <row r="49" ht="14.25" customHeight="1">
      <c r="A49" s="6" t="s">
        <v>102</v>
      </c>
      <c r="B49" s="8" t="s">
        <v>108</v>
      </c>
      <c r="C49" s="8" t="s">
        <v>104</v>
      </c>
      <c r="D49" s="10">
        <v>200.0</v>
      </c>
      <c r="E49" s="11">
        <v>20.0</v>
      </c>
      <c r="F49" s="13">
        <f t="shared" si="1"/>
        <v>180</v>
      </c>
      <c r="G49" s="15">
        <f t="shared" si="2"/>
        <v>0.9</v>
      </c>
      <c r="H49" s="16"/>
    </row>
    <row r="50" ht="14.25" customHeight="1">
      <c r="A50" s="6" t="s">
        <v>102</v>
      </c>
      <c r="B50" s="8" t="s">
        <v>108</v>
      </c>
      <c r="C50" s="8" t="s">
        <v>105</v>
      </c>
      <c r="D50" s="10">
        <v>250.0</v>
      </c>
      <c r="E50" s="11">
        <v>50.0</v>
      </c>
      <c r="F50" s="13">
        <f t="shared" si="1"/>
        <v>200</v>
      </c>
      <c r="G50" s="15">
        <f t="shared" si="2"/>
        <v>0.8</v>
      </c>
      <c r="H50" s="16"/>
    </row>
    <row r="51" ht="14.25" customHeight="1">
      <c r="A51" s="6" t="s">
        <v>102</v>
      </c>
      <c r="B51" s="8" t="s">
        <v>108</v>
      </c>
      <c r="C51" s="8" t="s">
        <v>106</v>
      </c>
      <c r="D51" s="10">
        <v>350.0</v>
      </c>
      <c r="E51" s="11">
        <v>50.0</v>
      </c>
      <c r="F51" s="13">
        <f t="shared" si="1"/>
        <v>300</v>
      </c>
      <c r="G51" s="15">
        <f t="shared" si="2"/>
        <v>0.8571428571</v>
      </c>
      <c r="H51" s="16"/>
    </row>
    <row r="52" ht="14.25" customHeight="1">
      <c r="A52" s="6" t="s">
        <v>102</v>
      </c>
      <c r="B52" s="8" t="s">
        <v>109</v>
      </c>
      <c r="C52" s="8" t="s">
        <v>104</v>
      </c>
      <c r="D52" s="10">
        <v>350.0</v>
      </c>
      <c r="E52" s="11">
        <v>30.0</v>
      </c>
      <c r="F52" s="13">
        <f t="shared" si="1"/>
        <v>320</v>
      </c>
      <c r="G52" s="15">
        <f t="shared" si="2"/>
        <v>0.9142857143</v>
      </c>
      <c r="H52" s="16"/>
    </row>
    <row r="53" ht="14.25" customHeight="1">
      <c r="A53" s="6" t="s">
        <v>102</v>
      </c>
      <c r="B53" s="8" t="s">
        <v>109</v>
      </c>
      <c r="C53" s="8" t="s">
        <v>105</v>
      </c>
      <c r="D53" s="10">
        <v>400.0</v>
      </c>
      <c r="E53" s="11">
        <v>50.0</v>
      </c>
      <c r="F53" s="13">
        <f t="shared" si="1"/>
        <v>350</v>
      </c>
      <c r="G53" s="15">
        <f t="shared" si="2"/>
        <v>0.875</v>
      </c>
      <c r="H53" s="16"/>
    </row>
    <row r="54" ht="14.25" customHeight="1">
      <c r="A54" s="6" t="s">
        <v>102</v>
      </c>
      <c r="B54" s="8" t="s">
        <v>109</v>
      </c>
      <c r="C54" s="8" t="s">
        <v>106</v>
      </c>
      <c r="D54" s="10">
        <v>550.0</v>
      </c>
      <c r="E54" s="11">
        <v>50.0</v>
      </c>
      <c r="F54" s="13">
        <f t="shared" si="1"/>
        <v>500</v>
      </c>
      <c r="G54" s="15">
        <f t="shared" si="2"/>
        <v>0.9090909091</v>
      </c>
      <c r="H54" s="16"/>
    </row>
    <row r="55" ht="14.25" customHeight="1">
      <c r="A55" s="6" t="s">
        <v>102</v>
      </c>
      <c r="B55" s="8" t="s">
        <v>110</v>
      </c>
      <c r="C55" s="8" t="s">
        <v>104</v>
      </c>
      <c r="D55" s="10">
        <v>500.0</v>
      </c>
      <c r="E55" s="11">
        <v>50.0</v>
      </c>
      <c r="F55" s="13">
        <f t="shared" si="1"/>
        <v>450</v>
      </c>
      <c r="G55" s="15">
        <f t="shared" si="2"/>
        <v>0.9</v>
      </c>
      <c r="H55" s="16"/>
    </row>
    <row r="56" ht="14.25" customHeight="1">
      <c r="A56" s="6" t="s">
        <v>102</v>
      </c>
      <c r="B56" s="8" t="s">
        <v>110</v>
      </c>
      <c r="C56" s="8" t="s">
        <v>105</v>
      </c>
      <c r="D56" s="10">
        <v>650.0</v>
      </c>
      <c r="E56" s="11">
        <v>50.0</v>
      </c>
      <c r="F56" s="13">
        <f t="shared" si="1"/>
        <v>600</v>
      </c>
      <c r="G56" s="15">
        <f t="shared" si="2"/>
        <v>0.9230769231</v>
      </c>
      <c r="H56" s="16"/>
    </row>
    <row r="57" ht="14.25" customHeight="1">
      <c r="A57" s="6" t="s">
        <v>102</v>
      </c>
      <c r="B57" s="8" t="s">
        <v>110</v>
      </c>
      <c r="C57" s="8" t="s">
        <v>106</v>
      </c>
      <c r="D57" s="10">
        <v>850.0</v>
      </c>
      <c r="E57" s="11">
        <v>50.0</v>
      </c>
      <c r="F57" s="13">
        <f t="shared" si="1"/>
        <v>800</v>
      </c>
      <c r="G57" s="15">
        <f t="shared" si="2"/>
        <v>0.9411764706</v>
      </c>
      <c r="H57" s="16"/>
    </row>
    <row r="58" ht="14.25" customHeight="1">
      <c r="A58" s="6" t="s">
        <v>102</v>
      </c>
      <c r="B58" s="8" t="s">
        <v>111</v>
      </c>
      <c r="C58" s="8" t="s">
        <v>104</v>
      </c>
      <c r="D58" s="10">
        <v>600.0</v>
      </c>
      <c r="E58" s="11">
        <v>80.0</v>
      </c>
      <c r="F58" s="13">
        <f t="shared" si="1"/>
        <v>520</v>
      </c>
      <c r="G58" s="15">
        <f t="shared" si="2"/>
        <v>0.8666666667</v>
      </c>
      <c r="H58" s="16"/>
    </row>
    <row r="59" ht="14.25" customHeight="1">
      <c r="A59" s="6" t="s">
        <v>102</v>
      </c>
      <c r="B59" s="8" t="s">
        <v>111</v>
      </c>
      <c r="C59" s="8" t="s">
        <v>105</v>
      </c>
      <c r="D59" s="10">
        <v>700.0</v>
      </c>
      <c r="E59" s="11">
        <v>80.0</v>
      </c>
      <c r="F59" s="13">
        <f t="shared" si="1"/>
        <v>620</v>
      </c>
      <c r="G59" s="15">
        <f t="shared" si="2"/>
        <v>0.8857142857</v>
      </c>
      <c r="H59" s="16"/>
    </row>
    <row r="60" ht="14.25" customHeight="1">
      <c r="A60" s="6" t="s">
        <v>102</v>
      </c>
      <c r="B60" s="8" t="s">
        <v>111</v>
      </c>
      <c r="C60" s="8" t="s">
        <v>106</v>
      </c>
      <c r="D60" s="10">
        <v>900.0</v>
      </c>
      <c r="E60" s="11">
        <v>80.0</v>
      </c>
      <c r="F60" s="13">
        <f t="shared" si="1"/>
        <v>820</v>
      </c>
      <c r="G60" s="15">
        <f t="shared" si="2"/>
        <v>0.9111111111</v>
      </c>
      <c r="H60" s="16"/>
    </row>
    <row r="61" ht="14.25" customHeight="1">
      <c r="A61" s="6" t="s">
        <v>102</v>
      </c>
      <c r="B61" s="8" t="s">
        <v>113</v>
      </c>
      <c r="C61" s="8" t="s">
        <v>104</v>
      </c>
      <c r="D61" s="10">
        <v>1200.0</v>
      </c>
      <c r="E61" s="11">
        <v>80.0</v>
      </c>
      <c r="F61" s="13">
        <f t="shared" si="1"/>
        <v>1120</v>
      </c>
      <c r="G61" s="15">
        <f t="shared" si="2"/>
        <v>0.9333333333</v>
      </c>
      <c r="H61" s="16"/>
    </row>
    <row r="62" ht="14.25" customHeight="1">
      <c r="A62" s="6" t="s">
        <v>102</v>
      </c>
      <c r="B62" s="8" t="s">
        <v>113</v>
      </c>
      <c r="C62" s="8" t="s">
        <v>105</v>
      </c>
      <c r="D62" s="10">
        <v>1500.0</v>
      </c>
      <c r="E62" s="11">
        <v>80.0</v>
      </c>
      <c r="F62" s="13">
        <f t="shared" si="1"/>
        <v>1420</v>
      </c>
      <c r="G62" s="15">
        <f t="shared" si="2"/>
        <v>0.9466666667</v>
      </c>
      <c r="H62" s="16"/>
    </row>
    <row r="63" ht="14.25" customHeight="1">
      <c r="A63" s="6" t="s">
        <v>102</v>
      </c>
      <c r="B63" s="8" t="s">
        <v>113</v>
      </c>
      <c r="C63" s="8" t="s">
        <v>106</v>
      </c>
      <c r="D63" s="10">
        <v>2000.0</v>
      </c>
      <c r="E63" s="11">
        <v>80.0</v>
      </c>
      <c r="F63" s="13">
        <f t="shared" si="1"/>
        <v>1920</v>
      </c>
      <c r="G63" s="15">
        <f t="shared" si="2"/>
        <v>0.96</v>
      </c>
      <c r="H63" s="16"/>
    </row>
    <row r="64" ht="14.25" customHeight="1">
      <c r="A64" s="6" t="s">
        <v>102</v>
      </c>
      <c r="B64" s="8" t="s">
        <v>114</v>
      </c>
      <c r="C64" s="8" t="s">
        <v>106</v>
      </c>
      <c r="D64" s="10">
        <v>1000.0</v>
      </c>
      <c r="E64" s="11">
        <v>10.0</v>
      </c>
      <c r="F64" s="13">
        <f t="shared" si="1"/>
        <v>990</v>
      </c>
      <c r="G64" s="15">
        <f t="shared" si="2"/>
        <v>0.99</v>
      </c>
      <c r="H64" s="16" t="s">
        <v>115</v>
      </c>
    </row>
    <row r="65" ht="14.25" customHeight="1">
      <c r="A65" s="6" t="s">
        <v>112</v>
      </c>
      <c r="B65" s="8" t="s">
        <v>49</v>
      </c>
      <c r="C65" s="8"/>
      <c r="D65" s="10">
        <v>400.0</v>
      </c>
      <c r="E65" s="11">
        <v>10.0</v>
      </c>
      <c r="F65" s="13">
        <f t="shared" si="1"/>
        <v>390</v>
      </c>
      <c r="G65" s="15">
        <f t="shared" si="2"/>
        <v>0.975</v>
      </c>
      <c r="H65" s="16"/>
    </row>
    <row r="66" ht="14.25" customHeight="1">
      <c r="A66" s="6" t="s">
        <v>112</v>
      </c>
      <c r="B66" s="8" t="s">
        <v>116</v>
      </c>
      <c r="C66" s="8"/>
      <c r="D66" s="10">
        <v>500.0</v>
      </c>
      <c r="E66" s="11">
        <v>10.0</v>
      </c>
      <c r="F66" s="13">
        <f t="shared" si="1"/>
        <v>490</v>
      </c>
      <c r="G66" s="15">
        <f t="shared" si="2"/>
        <v>0.98</v>
      </c>
      <c r="H66" s="16"/>
    </row>
    <row r="67" ht="14.25" customHeight="1">
      <c r="A67" s="6" t="s">
        <v>112</v>
      </c>
      <c r="B67" s="8" t="s">
        <v>117</v>
      </c>
      <c r="C67" s="8"/>
      <c r="D67" s="10">
        <v>500.0</v>
      </c>
      <c r="E67" s="11">
        <v>10.0</v>
      </c>
      <c r="F67" s="13">
        <f t="shared" si="1"/>
        <v>490</v>
      </c>
      <c r="G67" s="15">
        <f t="shared" si="2"/>
        <v>0.98</v>
      </c>
      <c r="H67" s="16"/>
    </row>
    <row r="68" ht="14.25" customHeight="1">
      <c r="A68" s="6" t="s">
        <v>112</v>
      </c>
      <c r="B68" s="8" t="s">
        <v>101</v>
      </c>
      <c r="C68" s="8"/>
      <c r="D68" s="10">
        <v>600.0</v>
      </c>
      <c r="E68" s="11">
        <v>250.0</v>
      </c>
      <c r="F68" s="13">
        <f t="shared" si="1"/>
        <v>350</v>
      </c>
      <c r="G68" s="15">
        <f t="shared" si="2"/>
        <v>0.5833333333</v>
      </c>
      <c r="H68" s="16" t="s">
        <v>52</v>
      </c>
    </row>
    <row r="69" ht="14.25" customHeight="1">
      <c r="A69" s="6" t="s">
        <v>118</v>
      </c>
      <c r="B69" s="8" t="s">
        <v>49</v>
      </c>
      <c r="C69" s="8"/>
      <c r="D69" s="10">
        <v>500.0</v>
      </c>
      <c r="E69" s="11">
        <v>250.0</v>
      </c>
      <c r="F69" s="13">
        <f t="shared" si="1"/>
        <v>250</v>
      </c>
      <c r="G69" s="15">
        <f t="shared" si="2"/>
        <v>0.5</v>
      </c>
      <c r="H69" s="16"/>
    </row>
    <row r="70" ht="14.25" customHeight="1">
      <c r="A70" s="6" t="s">
        <v>118</v>
      </c>
      <c r="B70" s="8" t="s">
        <v>116</v>
      </c>
      <c r="C70" s="8"/>
      <c r="D70" s="10">
        <v>800.0</v>
      </c>
      <c r="E70" s="11">
        <v>250.0</v>
      </c>
      <c r="F70" s="13">
        <f t="shared" si="1"/>
        <v>550</v>
      </c>
      <c r="G70" s="15">
        <f t="shared" si="2"/>
        <v>0.6875</v>
      </c>
      <c r="H70" s="16"/>
    </row>
    <row r="71" ht="14.25" customHeight="1">
      <c r="A71" s="6" t="s">
        <v>118</v>
      </c>
      <c r="B71" s="8" t="s">
        <v>117</v>
      </c>
      <c r="C71" s="8"/>
      <c r="D71" s="10">
        <v>800.0</v>
      </c>
      <c r="E71" s="11">
        <v>250.0</v>
      </c>
      <c r="F71" s="13">
        <f t="shared" si="1"/>
        <v>550</v>
      </c>
      <c r="G71" s="15">
        <f t="shared" si="2"/>
        <v>0.6875</v>
      </c>
      <c r="H71" s="16"/>
    </row>
    <row r="72" ht="14.25" customHeight="1">
      <c r="A72" s="6" t="s">
        <v>118</v>
      </c>
      <c r="B72" s="8" t="s">
        <v>51</v>
      </c>
      <c r="C72" s="8"/>
      <c r="D72" s="10">
        <v>1000.0</v>
      </c>
      <c r="E72" s="11">
        <v>250.0</v>
      </c>
      <c r="F72" s="13">
        <f t="shared" si="1"/>
        <v>750</v>
      </c>
      <c r="G72" s="15">
        <f t="shared" si="2"/>
        <v>0.75</v>
      </c>
      <c r="H72" s="16"/>
    </row>
    <row r="73" ht="14.25" customHeight="1">
      <c r="A73" s="6" t="s">
        <v>118</v>
      </c>
      <c r="B73" s="8" t="s">
        <v>119</v>
      </c>
      <c r="C73" s="8"/>
      <c r="D73" s="10">
        <v>1000.0</v>
      </c>
      <c r="E73" s="11">
        <v>250.0</v>
      </c>
      <c r="F73" s="13">
        <f t="shared" si="1"/>
        <v>750</v>
      </c>
      <c r="G73" s="15">
        <f t="shared" si="2"/>
        <v>0.75</v>
      </c>
      <c r="H73" s="16"/>
    </row>
    <row r="74" ht="14.25" customHeight="1">
      <c r="A74" s="6" t="s">
        <v>118</v>
      </c>
      <c r="B74" s="8" t="s">
        <v>50</v>
      </c>
      <c r="C74" s="8"/>
      <c r="D74" s="10">
        <v>1000.0</v>
      </c>
      <c r="E74" s="11">
        <v>250.0</v>
      </c>
      <c r="F74" s="13">
        <f t="shared" si="1"/>
        <v>750</v>
      </c>
      <c r="G74" s="15">
        <f t="shared" si="2"/>
        <v>0.75</v>
      </c>
      <c r="H74" s="16"/>
    </row>
    <row r="75" ht="14.25" customHeight="1">
      <c r="A75" s="6" t="s">
        <v>118</v>
      </c>
      <c r="B75" s="8" t="s">
        <v>120</v>
      </c>
      <c r="C75" s="8"/>
      <c r="D75" s="10">
        <v>1000.0</v>
      </c>
      <c r="E75" s="11">
        <v>250.0</v>
      </c>
      <c r="F75" s="13">
        <f t="shared" si="1"/>
        <v>750</v>
      </c>
      <c r="G75" s="15">
        <f t="shared" si="2"/>
        <v>0.75</v>
      </c>
      <c r="H75" s="16"/>
    </row>
    <row r="76" ht="14.25" customHeight="1">
      <c r="A76" s="6" t="s">
        <v>118</v>
      </c>
      <c r="B76" s="8" t="s">
        <v>121</v>
      </c>
      <c r="C76" s="8"/>
      <c r="D76" s="10">
        <v>1200.0</v>
      </c>
      <c r="E76" s="11">
        <v>250.0</v>
      </c>
      <c r="F76" s="13">
        <f t="shared" si="1"/>
        <v>950</v>
      </c>
      <c r="G76" s="15">
        <f t="shared" si="2"/>
        <v>0.7916666667</v>
      </c>
      <c r="H76" s="16"/>
    </row>
    <row r="77" ht="14.25" customHeight="1">
      <c r="A77" s="6" t="s">
        <v>118</v>
      </c>
      <c r="B77" s="8" t="s">
        <v>122</v>
      </c>
      <c r="C77" s="8"/>
      <c r="D77" s="10">
        <v>1200.0</v>
      </c>
      <c r="E77" s="11">
        <v>250.0</v>
      </c>
      <c r="F77" s="13">
        <f t="shared" si="1"/>
        <v>950</v>
      </c>
      <c r="G77" s="15">
        <f t="shared" si="2"/>
        <v>0.7916666667</v>
      </c>
      <c r="H77" s="16"/>
    </row>
    <row r="78" ht="14.25" customHeight="1">
      <c r="A78" s="6" t="s">
        <v>118</v>
      </c>
      <c r="B78" s="8" t="s">
        <v>123</v>
      </c>
      <c r="C78" s="8"/>
      <c r="D78" s="10">
        <v>1200.0</v>
      </c>
      <c r="E78" s="11">
        <v>250.0</v>
      </c>
      <c r="F78" s="13">
        <f t="shared" si="1"/>
        <v>950</v>
      </c>
      <c r="G78" s="15">
        <f t="shared" si="2"/>
        <v>0.7916666667</v>
      </c>
      <c r="H78" s="16"/>
    </row>
    <row r="79" ht="14.25" customHeight="1">
      <c r="A79" s="6" t="s">
        <v>118</v>
      </c>
      <c r="B79" s="8" t="s">
        <v>124</v>
      </c>
      <c r="C79" s="8"/>
      <c r="D79" s="10">
        <v>1500.0</v>
      </c>
      <c r="E79" s="11">
        <v>250.0</v>
      </c>
      <c r="F79" s="13">
        <f t="shared" si="1"/>
        <v>1250</v>
      </c>
      <c r="G79" s="15">
        <f t="shared" si="2"/>
        <v>0.8333333333</v>
      </c>
      <c r="H79" s="16"/>
    </row>
    <row r="80" ht="14.25" customHeight="1">
      <c r="A80" s="6" t="s">
        <v>118</v>
      </c>
      <c r="B80" s="8" t="s">
        <v>125</v>
      </c>
      <c r="C80" s="8"/>
      <c r="D80" s="10">
        <v>1500.0</v>
      </c>
      <c r="E80" s="11">
        <v>250.0</v>
      </c>
      <c r="F80" s="13">
        <f t="shared" si="1"/>
        <v>1250</v>
      </c>
      <c r="G80" s="15">
        <f t="shared" si="2"/>
        <v>0.8333333333</v>
      </c>
      <c r="H80" s="16"/>
    </row>
    <row r="81" ht="14.25" customHeight="1">
      <c r="A81" s="6" t="s">
        <v>126</v>
      </c>
      <c r="B81" s="8" t="s">
        <v>101</v>
      </c>
      <c r="C81" s="8"/>
      <c r="D81" s="10">
        <v>2000.0</v>
      </c>
      <c r="E81" s="11">
        <v>250.0</v>
      </c>
      <c r="F81" s="13">
        <f t="shared" si="1"/>
        <v>1750</v>
      </c>
      <c r="G81" s="15">
        <f t="shared" si="2"/>
        <v>0.875</v>
      </c>
      <c r="H81" s="16"/>
    </row>
    <row r="82" ht="14.25" customHeight="1">
      <c r="A82" s="6" t="s">
        <v>126</v>
      </c>
      <c r="B82" s="8" t="s">
        <v>127</v>
      </c>
      <c r="C82" s="8"/>
      <c r="D82" s="10">
        <v>2000.0</v>
      </c>
      <c r="E82" s="11">
        <v>250.0</v>
      </c>
      <c r="F82" s="13">
        <f t="shared" si="1"/>
        <v>1750</v>
      </c>
      <c r="G82" s="15">
        <f t="shared" si="2"/>
        <v>0.875</v>
      </c>
      <c r="H82" s="16" t="s">
        <v>52</v>
      </c>
    </row>
    <row r="83" ht="14.25" customHeight="1">
      <c r="A83" s="6" t="s">
        <v>126</v>
      </c>
      <c r="B83" s="8" t="s">
        <v>122</v>
      </c>
      <c r="C83" s="8"/>
      <c r="D83" s="10">
        <v>2000.0</v>
      </c>
      <c r="E83" s="11">
        <v>250.0</v>
      </c>
      <c r="F83" s="13">
        <f t="shared" si="1"/>
        <v>1750</v>
      </c>
      <c r="G83" s="15">
        <f t="shared" si="2"/>
        <v>0.875</v>
      </c>
      <c r="H83" s="16"/>
    </row>
    <row r="84" ht="14.25" customHeight="1">
      <c r="A84" s="6" t="s">
        <v>126</v>
      </c>
      <c r="B84" s="8" t="s">
        <v>128</v>
      </c>
      <c r="C84" s="8"/>
      <c r="D84" s="10">
        <v>2500.0</v>
      </c>
      <c r="E84" s="11">
        <v>250.0</v>
      </c>
      <c r="F84" s="13">
        <f t="shared" si="1"/>
        <v>2250</v>
      </c>
      <c r="G84" s="15">
        <f t="shared" si="2"/>
        <v>0.9</v>
      </c>
      <c r="H84" s="16"/>
    </row>
    <row r="85" ht="14.25" customHeight="1">
      <c r="A85" s="6" t="s">
        <v>126</v>
      </c>
      <c r="B85" s="8" t="s">
        <v>129</v>
      </c>
      <c r="C85" s="8"/>
      <c r="D85" s="10">
        <v>2500.0</v>
      </c>
      <c r="E85" s="11">
        <v>250.0</v>
      </c>
      <c r="F85" s="13">
        <f t="shared" si="1"/>
        <v>2250</v>
      </c>
      <c r="G85" s="15">
        <f t="shared" si="2"/>
        <v>0.9</v>
      </c>
      <c r="H85" s="16"/>
    </row>
    <row r="86" ht="14.25" customHeight="1">
      <c r="A86" s="6" t="s">
        <v>126</v>
      </c>
      <c r="B86" s="8" t="s">
        <v>130</v>
      </c>
      <c r="C86" s="8"/>
      <c r="D86" s="10">
        <v>3000.0</v>
      </c>
      <c r="E86" s="11">
        <v>250.0</v>
      </c>
      <c r="F86" s="13">
        <f t="shared" si="1"/>
        <v>2750</v>
      </c>
      <c r="G86" s="15">
        <f t="shared" si="2"/>
        <v>0.9166666667</v>
      </c>
      <c r="H86" s="16"/>
    </row>
    <row r="87" ht="14.25" customHeight="1">
      <c r="A87" s="6" t="s">
        <v>126</v>
      </c>
      <c r="B87" s="8" t="s">
        <v>131</v>
      </c>
      <c r="C87" s="8"/>
      <c r="D87" s="17"/>
      <c r="E87" s="11"/>
      <c r="F87" s="13" t="str">
        <f t="shared" si="1"/>
        <v/>
      </c>
      <c r="G87" s="15" t="str">
        <f t="shared" si="2"/>
        <v/>
      </c>
      <c r="H87" s="16" t="s">
        <v>132</v>
      </c>
    </row>
    <row r="88" ht="14.25" customHeight="1">
      <c r="A88" s="6" t="s">
        <v>126</v>
      </c>
      <c r="B88" s="8" t="s">
        <v>133</v>
      </c>
      <c r="C88" s="8"/>
      <c r="D88" s="10">
        <v>3000.0</v>
      </c>
      <c r="E88" s="11">
        <v>250.0</v>
      </c>
      <c r="F88" s="13">
        <f t="shared" si="1"/>
        <v>2750</v>
      </c>
      <c r="G88" s="15">
        <f t="shared" si="2"/>
        <v>0.9166666667</v>
      </c>
      <c r="H88" s="16"/>
    </row>
    <row r="89" ht="14.25" customHeight="1">
      <c r="A89" s="6" t="s">
        <v>126</v>
      </c>
      <c r="B89" s="8" t="s">
        <v>134</v>
      </c>
      <c r="C89" s="8"/>
      <c r="D89" s="10">
        <v>3500.0</v>
      </c>
      <c r="E89" s="11">
        <v>20.0</v>
      </c>
      <c r="F89" s="13">
        <f t="shared" si="1"/>
        <v>3480</v>
      </c>
      <c r="G89" s="15">
        <f t="shared" si="2"/>
        <v>0.9942857143</v>
      </c>
      <c r="H89" s="16"/>
    </row>
    <row r="90" ht="14.25" customHeight="1">
      <c r="A90" s="6" t="s">
        <v>126</v>
      </c>
      <c r="B90" s="8" t="s">
        <v>135</v>
      </c>
      <c r="C90" s="8"/>
      <c r="D90" s="10">
        <v>4000.0</v>
      </c>
      <c r="E90" s="11">
        <v>250.0</v>
      </c>
      <c r="F90" s="13">
        <f t="shared" si="1"/>
        <v>3750</v>
      </c>
      <c r="G90" s="15">
        <f t="shared" si="2"/>
        <v>0.9375</v>
      </c>
      <c r="H90" s="16"/>
    </row>
    <row r="91" ht="14.25" customHeight="1">
      <c r="A91" s="6" t="s">
        <v>136</v>
      </c>
      <c r="B91" s="8" t="s">
        <v>137</v>
      </c>
      <c r="C91" s="8"/>
      <c r="D91" s="10">
        <v>300.0</v>
      </c>
      <c r="E91" s="11">
        <v>20.0</v>
      </c>
      <c r="F91" s="13">
        <f t="shared" si="1"/>
        <v>280</v>
      </c>
      <c r="G91" s="15">
        <f t="shared" si="2"/>
        <v>0.9333333333</v>
      </c>
      <c r="H91" s="16"/>
    </row>
    <row r="92" ht="14.25" customHeight="1">
      <c r="A92" s="6" t="s">
        <v>136</v>
      </c>
      <c r="B92" s="8" t="s">
        <v>51</v>
      </c>
      <c r="C92" s="8"/>
      <c r="D92" s="10">
        <v>400.0</v>
      </c>
      <c r="E92" s="11">
        <v>250.0</v>
      </c>
      <c r="F92" s="13">
        <f t="shared" si="1"/>
        <v>150</v>
      </c>
      <c r="G92" s="15">
        <f t="shared" si="2"/>
        <v>0.375</v>
      </c>
      <c r="H92" s="16"/>
    </row>
    <row r="93" ht="14.25" customHeight="1">
      <c r="A93" s="6" t="s">
        <v>136</v>
      </c>
      <c r="B93" s="8" t="s">
        <v>138</v>
      </c>
      <c r="C93" s="8"/>
      <c r="D93" s="10">
        <v>500.0</v>
      </c>
      <c r="E93" s="11">
        <v>250.0</v>
      </c>
      <c r="F93" s="13">
        <f t="shared" si="1"/>
        <v>250</v>
      </c>
      <c r="G93" s="15">
        <f t="shared" si="2"/>
        <v>0.5</v>
      </c>
      <c r="H93" s="16"/>
    </row>
    <row r="94" ht="14.25" customHeight="1">
      <c r="A94" s="6" t="s">
        <v>136</v>
      </c>
      <c r="B94" s="8" t="s">
        <v>101</v>
      </c>
      <c r="C94" s="8"/>
      <c r="D94" s="17"/>
      <c r="E94" s="11">
        <v>250.0</v>
      </c>
      <c r="F94" s="13">
        <f t="shared" si="1"/>
        <v>-250</v>
      </c>
      <c r="G94" s="15" t="str">
        <f t="shared" si="2"/>
        <v/>
      </c>
      <c r="H94" s="16" t="s">
        <v>132</v>
      </c>
    </row>
    <row r="95" ht="14.25" customHeight="1">
      <c r="A95" s="6" t="s">
        <v>139</v>
      </c>
      <c r="B95" s="8" t="s">
        <v>140</v>
      </c>
      <c r="C95" s="8"/>
      <c r="D95" s="10">
        <v>450.0</v>
      </c>
      <c r="E95" s="11">
        <v>20.0</v>
      </c>
      <c r="F95" s="13">
        <f t="shared" si="1"/>
        <v>430</v>
      </c>
      <c r="G95" s="15">
        <f t="shared" si="2"/>
        <v>0.9555555556</v>
      </c>
      <c r="H95" s="16" t="s">
        <v>52</v>
      </c>
    </row>
    <row r="96" ht="14.25" customHeight="1">
      <c r="A96" s="6" t="s">
        <v>139</v>
      </c>
      <c r="B96" s="8" t="s">
        <v>141</v>
      </c>
      <c r="C96" s="8"/>
      <c r="D96" s="10">
        <v>500.0</v>
      </c>
      <c r="E96" s="11">
        <v>20.0</v>
      </c>
      <c r="F96" s="13">
        <f t="shared" si="1"/>
        <v>480</v>
      </c>
      <c r="G96" s="15">
        <f t="shared" si="2"/>
        <v>0.96</v>
      </c>
      <c r="H96" s="16" t="s">
        <v>52</v>
      </c>
    </row>
    <row r="97" ht="14.25" customHeight="1">
      <c r="A97" s="6" t="s">
        <v>139</v>
      </c>
      <c r="B97" s="8" t="s">
        <v>142</v>
      </c>
      <c r="C97" s="8"/>
      <c r="D97" s="10">
        <v>550.0</v>
      </c>
      <c r="E97" s="11">
        <v>20.0</v>
      </c>
      <c r="F97" s="13">
        <f t="shared" si="1"/>
        <v>530</v>
      </c>
      <c r="G97" s="15">
        <f t="shared" si="2"/>
        <v>0.9636363636</v>
      </c>
      <c r="H97" s="16" t="s">
        <v>52</v>
      </c>
    </row>
    <row r="98" ht="14.25" customHeight="1">
      <c r="A98" s="6" t="s">
        <v>139</v>
      </c>
      <c r="B98" s="8" t="s">
        <v>143</v>
      </c>
      <c r="C98" s="8"/>
      <c r="D98" s="10">
        <v>550.0</v>
      </c>
      <c r="E98" s="11">
        <v>20.0</v>
      </c>
      <c r="F98" s="13">
        <f t="shared" si="1"/>
        <v>530</v>
      </c>
      <c r="G98" s="15">
        <f t="shared" si="2"/>
        <v>0.9636363636</v>
      </c>
      <c r="H98" s="16"/>
    </row>
    <row r="99" ht="14.25" customHeight="1">
      <c r="A99" s="6" t="s">
        <v>144</v>
      </c>
      <c r="B99" s="8" t="s">
        <v>140</v>
      </c>
      <c r="C99" s="8"/>
      <c r="D99" s="10">
        <v>450.0</v>
      </c>
      <c r="E99" s="11">
        <v>20.0</v>
      </c>
      <c r="F99" s="13">
        <f t="shared" si="1"/>
        <v>430</v>
      </c>
      <c r="G99" s="15">
        <f t="shared" si="2"/>
        <v>0.9555555556</v>
      </c>
      <c r="H99" s="16" t="s">
        <v>52</v>
      </c>
    </row>
    <row r="100" ht="14.25" customHeight="1">
      <c r="A100" s="6" t="s">
        <v>144</v>
      </c>
      <c r="B100" s="8" t="s">
        <v>141</v>
      </c>
      <c r="C100" s="8"/>
      <c r="D100" s="10">
        <v>550.0</v>
      </c>
      <c r="E100" s="11">
        <v>20.0</v>
      </c>
      <c r="F100" s="13">
        <f t="shared" si="1"/>
        <v>530</v>
      </c>
      <c r="G100" s="15">
        <f t="shared" si="2"/>
        <v>0.9636363636</v>
      </c>
      <c r="H100" s="16"/>
    </row>
    <row r="101" ht="14.25" customHeight="1">
      <c r="A101" s="6" t="s">
        <v>144</v>
      </c>
      <c r="B101" s="8" t="s">
        <v>142</v>
      </c>
      <c r="C101" s="8"/>
      <c r="D101" s="10">
        <v>650.0</v>
      </c>
      <c r="E101" s="11">
        <v>20.0</v>
      </c>
      <c r="F101" s="13">
        <f t="shared" si="1"/>
        <v>630</v>
      </c>
      <c r="G101" s="15">
        <f t="shared" si="2"/>
        <v>0.9692307692</v>
      </c>
      <c r="H101" s="16"/>
    </row>
    <row r="102" ht="14.25" customHeight="1">
      <c r="A102" s="6" t="s">
        <v>144</v>
      </c>
      <c r="B102" s="8" t="s">
        <v>143</v>
      </c>
      <c r="C102" s="8"/>
      <c r="D102" s="10">
        <v>750.0</v>
      </c>
      <c r="E102" s="11">
        <v>20.0</v>
      </c>
      <c r="F102" s="13">
        <f t="shared" si="1"/>
        <v>730</v>
      </c>
      <c r="G102" s="15">
        <f t="shared" si="2"/>
        <v>0.9733333333</v>
      </c>
      <c r="H102" s="16"/>
    </row>
    <row r="103" ht="14.25" customHeight="1">
      <c r="A103" s="6" t="s">
        <v>145</v>
      </c>
      <c r="B103" s="8" t="s">
        <v>146</v>
      </c>
      <c r="C103" s="8"/>
      <c r="D103" s="10">
        <v>200.0</v>
      </c>
      <c r="E103" s="11">
        <v>10.0</v>
      </c>
      <c r="F103" s="13">
        <f t="shared" si="1"/>
        <v>190</v>
      </c>
      <c r="G103" s="15">
        <f t="shared" si="2"/>
        <v>0.95</v>
      </c>
      <c r="H103" s="16" t="s">
        <v>52</v>
      </c>
    </row>
    <row r="104" ht="14.25" customHeight="1">
      <c r="A104" s="6" t="s">
        <v>145</v>
      </c>
      <c r="B104" s="8" t="s">
        <v>147</v>
      </c>
      <c r="C104" s="8"/>
      <c r="D104" s="10">
        <v>250.0</v>
      </c>
      <c r="E104" s="11">
        <v>10.0</v>
      </c>
      <c r="F104" s="13">
        <f t="shared" si="1"/>
        <v>240</v>
      </c>
      <c r="G104" s="15">
        <f t="shared" si="2"/>
        <v>0.96</v>
      </c>
      <c r="H104" s="16" t="s">
        <v>52</v>
      </c>
    </row>
    <row r="105" ht="14.25" customHeight="1">
      <c r="A105" s="6" t="s">
        <v>145</v>
      </c>
      <c r="B105" s="8" t="s">
        <v>148</v>
      </c>
      <c r="C105" s="8"/>
      <c r="D105" s="10">
        <v>250.0</v>
      </c>
      <c r="E105" s="11">
        <v>10.0</v>
      </c>
      <c r="F105" s="13">
        <f t="shared" si="1"/>
        <v>240</v>
      </c>
      <c r="G105" s="15">
        <f t="shared" si="2"/>
        <v>0.96</v>
      </c>
      <c r="H105" s="16" t="s">
        <v>52</v>
      </c>
    </row>
    <row r="106" ht="14.25" customHeight="1">
      <c r="A106" s="6" t="s">
        <v>145</v>
      </c>
      <c r="B106" s="8" t="s">
        <v>149</v>
      </c>
      <c r="C106" s="8"/>
      <c r="D106" s="10">
        <v>250.0</v>
      </c>
      <c r="E106" s="11">
        <v>10.0</v>
      </c>
      <c r="F106" s="13">
        <f t="shared" si="1"/>
        <v>240</v>
      </c>
      <c r="G106" s="15">
        <f t="shared" si="2"/>
        <v>0.96</v>
      </c>
      <c r="H106" s="16" t="s">
        <v>52</v>
      </c>
    </row>
    <row r="107" ht="14.25" customHeight="1">
      <c r="A107" s="6" t="s">
        <v>145</v>
      </c>
      <c r="B107" s="8" t="s">
        <v>150</v>
      </c>
      <c r="C107" s="8"/>
      <c r="D107" s="10">
        <v>250.0</v>
      </c>
      <c r="E107" s="11">
        <v>10.0</v>
      </c>
      <c r="F107" s="13">
        <f t="shared" si="1"/>
        <v>240</v>
      </c>
      <c r="G107" s="15">
        <f t="shared" si="2"/>
        <v>0.96</v>
      </c>
      <c r="H107" s="16" t="s">
        <v>52</v>
      </c>
    </row>
    <row r="108" ht="14.25" customHeight="1">
      <c r="A108" s="6" t="s">
        <v>145</v>
      </c>
      <c r="B108" s="8" t="s">
        <v>151</v>
      </c>
      <c r="C108" s="8"/>
      <c r="D108" s="10">
        <v>250.0</v>
      </c>
      <c r="E108" s="11">
        <v>10.0</v>
      </c>
      <c r="F108" s="13">
        <f t="shared" si="1"/>
        <v>240</v>
      </c>
      <c r="G108" s="15">
        <f t="shared" si="2"/>
        <v>0.96</v>
      </c>
      <c r="H108" s="16" t="s">
        <v>52</v>
      </c>
    </row>
    <row r="109" ht="14.25" customHeight="1">
      <c r="A109" s="6" t="s">
        <v>152</v>
      </c>
      <c r="B109" s="8" t="s">
        <v>153</v>
      </c>
      <c r="C109" s="8"/>
      <c r="D109" s="10">
        <v>200.0</v>
      </c>
      <c r="E109" s="11">
        <v>10.0</v>
      </c>
      <c r="F109" s="13">
        <f t="shared" si="1"/>
        <v>190</v>
      </c>
      <c r="G109" s="15">
        <f t="shared" si="2"/>
        <v>0.95</v>
      </c>
      <c r="H109" s="16" t="s">
        <v>52</v>
      </c>
    </row>
    <row r="110" ht="14.25" customHeight="1">
      <c r="A110" s="6" t="s">
        <v>152</v>
      </c>
      <c r="B110" s="8" t="s">
        <v>154</v>
      </c>
      <c r="C110" s="8"/>
      <c r="D110" s="10">
        <v>250.0</v>
      </c>
      <c r="E110" s="11">
        <v>10.0</v>
      </c>
      <c r="F110" s="13">
        <f t="shared" si="1"/>
        <v>240</v>
      </c>
      <c r="G110" s="15">
        <f t="shared" si="2"/>
        <v>0.96</v>
      </c>
      <c r="H110" s="16"/>
    </row>
    <row r="111" ht="14.25" customHeight="1">
      <c r="A111" s="6" t="s">
        <v>152</v>
      </c>
      <c r="B111" s="8" t="s">
        <v>155</v>
      </c>
      <c r="C111" s="8"/>
      <c r="D111" s="10">
        <v>400.0</v>
      </c>
      <c r="E111" s="11">
        <v>20.0</v>
      </c>
      <c r="F111" s="13">
        <f t="shared" si="1"/>
        <v>380</v>
      </c>
      <c r="G111" s="15">
        <f t="shared" si="2"/>
        <v>0.95</v>
      </c>
      <c r="H111" s="16"/>
    </row>
    <row r="112" ht="14.25" customHeight="1">
      <c r="A112" s="6" t="s">
        <v>156</v>
      </c>
      <c r="B112" s="8" t="s">
        <v>157</v>
      </c>
      <c r="C112" s="8"/>
      <c r="D112" s="10">
        <v>300.0</v>
      </c>
      <c r="E112" s="11">
        <v>50.0</v>
      </c>
      <c r="F112" s="13">
        <f t="shared" si="1"/>
        <v>250</v>
      </c>
      <c r="G112" s="15">
        <f t="shared" si="2"/>
        <v>0.8333333333</v>
      </c>
      <c r="H112" s="16" t="s">
        <v>52</v>
      </c>
    </row>
    <row r="113" ht="14.25" customHeight="1">
      <c r="A113" s="6" t="s">
        <v>156</v>
      </c>
      <c r="B113" s="8" t="s">
        <v>158</v>
      </c>
      <c r="C113" s="8"/>
      <c r="D113" s="10">
        <v>350.0</v>
      </c>
      <c r="E113" s="11">
        <v>50.0</v>
      </c>
      <c r="F113" s="13">
        <f t="shared" si="1"/>
        <v>300</v>
      </c>
      <c r="G113" s="15">
        <f t="shared" si="2"/>
        <v>0.8571428571</v>
      </c>
      <c r="H113" s="16" t="s">
        <v>52</v>
      </c>
    </row>
    <row r="114" ht="14.25" customHeight="1">
      <c r="A114" s="6" t="s">
        <v>156</v>
      </c>
      <c r="B114" s="8" t="s">
        <v>159</v>
      </c>
      <c r="C114" s="8"/>
      <c r="D114" s="10">
        <v>400.0</v>
      </c>
      <c r="E114" s="11">
        <v>50.0</v>
      </c>
      <c r="F114" s="13">
        <f t="shared" si="1"/>
        <v>350</v>
      </c>
      <c r="G114" s="15">
        <f t="shared" si="2"/>
        <v>0.875</v>
      </c>
      <c r="H114" s="16" t="s">
        <v>52</v>
      </c>
    </row>
    <row r="115" ht="14.25" customHeight="1">
      <c r="A115" s="6" t="s">
        <v>156</v>
      </c>
      <c r="B115" s="8" t="s">
        <v>160</v>
      </c>
      <c r="C115" s="8"/>
      <c r="D115" s="10">
        <v>1000.0</v>
      </c>
      <c r="E115" s="11">
        <v>50.0</v>
      </c>
      <c r="F115" s="13">
        <f t="shared" si="1"/>
        <v>950</v>
      </c>
      <c r="G115" s="15">
        <f t="shared" si="2"/>
        <v>0.95</v>
      </c>
      <c r="H115" s="16"/>
    </row>
    <row r="116" ht="14.25" customHeight="1">
      <c r="A116" s="6" t="s">
        <v>156</v>
      </c>
      <c r="B116" s="8" t="s">
        <v>161</v>
      </c>
      <c r="C116" s="8"/>
      <c r="D116" s="10">
        <v>1200.0</v>
      </c>
      <c r="E116" s="11">
        <v>50.0</v>
      </c>
      <c r="F116" s="13">
        <f t="shared" si="1"/>
        <v>1150</v>
      </c>
      <c r="G116" s="15">
        <f t="shared" si="2"/>
        <v>0.9583333333</v>
      </c>
      <c r="H116" s="16" t="s">
        <v>52</v>
      </c>
    </row>
    <row r="117" ht="14.25" customHeight="1">
      <c r="A117" s="6" t="s">
        <v>156</v>
      </c>
      <c r="B117" s="8" t="s">
        <v>162</v>
      </c>
      <c r="C117" s="8"/>
      <c r="D117" s="10">
        <v>1500.0</v>
      </c>
      <c r="E117" s="11">
        <v>50.0</v>
      </c>
      <c r="F117" s="13">
        <f t="shared" si="1"/>
        <v>1450</v>
      </c>
      <c r="G117" s="15">
        <f t="shared" si="2"/>
        <v>0.9666666667</v>
      </c>
      <c r="H117" s="16" t="s">
        <v>52</v>
      </c>
    </row>
    <row r="118" ht="14.25" customHeight="1">
      <c r="A118" s="6" t="s">
        <v>163</v>
      </c>
      <c r="B118" s="8" t="s">
        <v>164</v>
      </c>
      <c r="C118" s="8"/>
      <c r="D118" s="10">
        <v>500.0</v>
      </c>
      <c r="E118" s="11">
        <v>35.0</v>
      </c>
      <c r="F118" s="13">
        <f t="shared" si="1"/>
        <v>465</v>
      </c>
      <c r="G118" s="15">
        <f t="shared" si="2"/>
        <v>0.93</v>
      </c>
      <c r="H118" s="16" t="s">
        <v>52</v>
      </c>
    </row>
    <row r="119" ht="14.25" customHeight="1">
      <c r="A119" s="6" t="s">
        <v>163</v>
      </c>
      <c r="B119" s="8" t="s">
        <v>165</v>
      </c>
      <c r="C119" s="8"/>
      <c r="D119" s="10">
        <v>2500.0</v>
      </c>
      <c r="E119" s="11">
        <v>150.0</v>
      </c>
      <c r="F119" s="13">
        <f t="shared" si="1"/>
        <v>2350</v>
      </c>
      <c r="G119" s="15">
        <f t="shared" si="2"/>
        <v>0.94</v>
      </c>
      <c r="H119" s="16"/>
    </row>
    <row r="120" ht="14.25" customHeight="1">
      <c r="A120" s="6" t="s">
        <v>163</v>
      </c>
      <c r="B120" s="8" t="s">
        <v>162</v>
      </c>
      <c r="C120" s="8"/>
      <c r="D120" s="10">
        <v>2500.0</v>
      </c>
      <c r="E120" s="11">
        <v>150.0</v>
      </c>
      <c r="F120" s="13">
        <f t="shared" si="1"/>
        <v>2350</v>
      </c>
      <c r="G120" s="15">
        <f t="shared" si="2"/>
        <v>0.94</v>
      </c>
      <c r="H120" s="16"/>
    </row>
    <row r="121" ht="14.25" customHeight="1">
      <c r="A121" s="6" t="s">
        <v>163</v>
      </c>
      <c r="B121" s="8" t="s">
        <v>166</v>
      </c>
      <c r="C121" s="8"/>
      <c r="D121" s="10">
        <v>3000.0</v>
      </c>
      <c r="E121" s="11">
        <v>150.0</v>
      </c>
      <c r="F121" s="13">
        <f t="shared" si="1"/>
        <v>2850</v>
      </c>
      <c r="G121" s="15">
        <f t="shared" si="2"/>
        <v>0.95</v>
      </c>
      <c r="H121" s="16"/>
    </row>
    <row r="122" ht="14.25" customHeight="1">
      <c r="A122" s="6" t="s">
        <v>163</v>
      </c>
      <c r="B122" s="8" t="s">
        <v>167</v>
      </c>
      <c r="C122" s="8"/>
      <c r="D122" s="10">
        <v>3500.0</v>
      </c>
      <c r="E122" s="11">
        <v>150.0</v>
      </c>
      <c r="F122" s="13">
        <f t="shared" si="1"/>
        <v>3350</v>
      </c>
      <c r="G122" s="15">
        <f t="shared" si="2"/>
        <v>0.9571428571</v>
      </c>
      <c r="H122" s="16"/>
    </row>
    <row r="123" ht="14.25" customHeight="1">
      <c r="A123" s="6" t="s">
        <v>163</v>
      </c>
      <c r="B123" s="8" t="s">
        <v>168</v>
      </c>
      <c r="C123" s="8"/>
      <c r="D123" s="10">
        <v>4000.0</v>
      </c>
      <c r="E123" s="11">
        <v>150.0</v>
      </c>
      <c r="F123" s="13">
        <f t="shared" si="1"/>
        <v>3850</v>
      </c>
      <c r="G123" s="15">
        <f t="shared" si="2"/>
        <v>0.9625</v>
      </c>
      <c r="H123" s="16"/>
    </row>
    <row r="124" ht="14.25" customHeight="1">
      <c r="A124" s="6" t="s">
        <v>163</v>
      </c>
      <c r="B124" s="8" t="s">
        <v>169</v>
      </c>
      <c r="C124" s="8"/>
      <c r="D124" s="10">
        <v>4000.0</v>
      </c>
      <c r="E124" s="11"/>
      <c r="F124" s="13" t="str">
        <f t="shared" si="1"/>
        <v/>
      </c>
      <c r="G124" s="15" t="str">
        <f t="shared" si="2"/>
        <v/>
      </c>
      <c r="H124" s="16" t="s">
        <v>170</v>
      </c>
    </row>
    <row r="125" ht="14.25" customHeight="1">
      <c r="A125" s="6" t="s">
        <v>171</v>
      </c>
      <c r="B125" s="8" t="s">
        <v>172</v>
      </c>
      <c r="C125" s="8"/>
      <c r="D125" s="10">
        <v>850.0</v>
      </c>
      <c r="E125" s="11">
        <v>100.0</v>
      </c>
      <c r="F125" s="13">
        <f t="shared" si="1"/>
        <v>750</v>
      </c>
      <c r="G125" s="15">
        <f t="shared" si="2"/>
        <v>0.8823529412</v>
      </c>
      <c r="H125" s="16" t="s">
        <v>52</v>
      </c>
    </row>
    <row r="126" ht="14.25" customHeight="1">
      <c r="A126" s="6" t="s">
        <v>171</v>
      </c>
      <c r="B126" s="8" t="s">
        <v>159</v>
      </c>
      <c r="C126" s="8"/>
      <c r="D126" s="10">
        <v>900.0</v>
      </c>
      <c r="E126" s="11">
        <v>100.0</v>
      </c>
      <c r="F126" s="13">
        <f t="shared" si="1"/>
        <v>800</v>
      </c>
      <c r="G126" s="15">
        <f t="shared" si="2"/>
        <v>0.8888888889</v>
      </c>
      <c r="H126" s="16" t="s">
        <v>52</v>
      </c>
    </row>
    <row r="127" ht="14.25" customHeight="1">
      <c r="A127" s="6" t="s">
        <v>171</v>
      </c>
      <c r="B127" s="8" t="s">
        <v>158</v>
      </c>
      <c r="C127" s="8"/>
      <c r="D127" s="10">
        <v>1000.0</v>
      </c>
      <c r="E127" s="11">
        <v>100.0</v>
      </c>
      <c r="F127" s="13">
        <f t="shared" si="1"/>
        <v>900</v>
      </c>
      <c r="G127" s="15">
        <f t="shared" si="2"/>
        <v>0.9</v>
      </c>
      <c r="H127" s="16" t="s">
        <v>52</v>
      </c>
    </row>
    <row r="128" ht="14.25" customHeight="1">
      <c r="A128" s="6" t="s">
        <v>171</v>
      </c>
      <c r="B128" s="8" t="s">
        <v>173</v>
      </c>
      <c r="C128" s="8"/>
      <c r="D128" s="10">
        <v>1100.0</v>
      </c>
      <c r="E128" s="11">
        <v>100.0</v>
      </c>
      <c r="F128" s="13">
        <f t="shared" si="1"/>
        <v>1000</v>
      </c>
      <c r="G128" s="15">
        <f t="shared" si="2"/>
        <v>0.9090909091</v>
      </c>
      <c r="H128" s="16" t="s">
        <v>52</v>
      </c>
    </row>
    <row r="129" ht="14.25" customHeight="1">
      <c r="A129" s="6" t="s">
        <v>174</v>
      </c>
      <c r="B129" s="8" t="s">
        <v>172</v>
      </c>
      <c r="C129" s="8"/>
      <c r="D129" s="10">
        <v>2000.0</v>
      </c>
      <c r="E129" s="11">
        <v>500.0</v>
      </c>
      <c r="F129" s="13">
        <f t="shared" si="1"/>
        <v>1500</v>
      </c>
      <c r="G129" s="15">
        <f t="shared" si="2"/>
        <v>0.75</v>
      </c>
      <c r="H129" s="16" t="s">
        <v>52</v>
      </c>
    </row>
    <row r="130" ht="14.25" customHeight="1">
      <c r="A130" s="6" t="s">
        <v>174</v>
      </c>
      <c r="B130" s="8" t="s">
        <v>159</v>
      </c>
      <c r="C130" s="8"/>
      <c r="D130" s="10">
        <v>2500.0</v>
      </c>
      <c r="E130" s="11">
        <v>500.0</v>
      </c>
      <c r="F130" s="13">
        <f t="shared" si="1"/>
        <v>2000</v>
      </c>
      <c r="G130" s="15">
        <f t="shared" si="2"/>
        <v>0.8</v>
      </c>
      <c r="H130" s="16" t="s">
        <v>52</v>
      </c>
    </row>
    <row r="131" ht="14.25" customHeight="1">
      <c r="A131" s="6" t="s">
        <v>174</v>
      </c>
      <c r="B131" s="8" t="s">
        <v>158</v>
      </c>
      <c r="C131" s="8"/>
      <c r="D131" s="10">
        <v>2000.0</v>
      </c>
      <c r="E131" s="11">
        <v>500.0</v>
      </c>
      <c r="F131" s="13">
        <f t="shared" si="1"/>
        <v>1500</v>
      </c>
      <c r="G131" s="15">
        <f t="shared" si="2"/>
        <v>0.75</v>
      </c>
      <c r="H131" s="16" t="s">
        <v>52</v>
      </c>
    </row>
    <row r="132" ht="14.25" customHeight="1">
      <c r="A132" s="6" t="s">
        <v>174</v>
      </c>
      <c r="B132" s="8" t="s">
        <v>173</v>
      </c>
      <c r="C132" s="8"/>
      <c r="D132" s="10">
        <v>2500.0</v>
      </c>
      <c r="E132" s="11">
        <v>500.0</v>
      </c>
      <c r="F132" s="13">
        <f t="shared" si="1"/>
        <v>2000</v>
      </c>
      <c r="G132" s="15">
        <f t="shared" si="2"/>
        <v>0.8</v>
      </c>
      <c r="H132" s="16" t="s">
        <v>52</v>
      </c>
    </row>
    <row r="133" ht="14.25" customHeight="1">
      <c r="A133" s="6" t="s">
        <v>175</v>
      </c>
      <c r="B133" s="8" t="s">
        <v>176</v>
      </c>
      <c r="C133" s="8"/>
      <c r="D133" s="10">
        <v>400.0</v>
      </c>
      <c r="E133" s="11">
        <v>10.0</v>
      </c>
      <c r="F133" s="13">
        <f t="shared" si="1"/>
        <v>390</v>
      </c>
      <c r="G133" s="15">
        <f t="shared" si="2"/>
        <v>0.975</v>
      </c>
      <c r="H133" s="16" t="s">
        <v>52</v>
      </c>
    </row>
    <row r="134" ht="14.25" customHeight="1">
      <c r="A134" s="6" t="s">
        <v>175</v>
      </c>
      <c r="B134" s="8" t="s">
        <v>177</v>
      </c>
      <c r="C134" s="8"/>
      <c r="D134" s="10">
        <v>450.0</v>
      </c>
      <c r="E134" s="11">
        <v>10.0</v>
      </c>
      <c r="F134" s="13">
        <f t="shared" si="1"/>
        <v>440</v>
      </c>
      <c r="G134" s="15">
        <f t="shared" si="2"/>
        <v>0.9777777778</v>
      </c>
      <c r="H134" s="16" t="s">
        <v>52</v>
      </c>
    </row>
    <row r="135" ht="14.25" customHeight="1">
      <c r="A135" s="6" t="s">
        <v>175</v>
      </c>
      <c r="B135" s="8" t="s">
        <v>178</v>
      </c>
      <c r="C135" s="8"/>
      <c r="D135" s="10">
        <v>500.0</v>
      </c>
      <c r="E135" s="11">
        <v>10.0</v>
      </c>
      <c r="F135" s="13">
        <f t="shared" si="1"/>
        <v>490</v>
      </c>
      <c r="G135" s="15">
        <f t="shared" si="2"/>
        <v>0.98</v>
      </c>
      <c r="H135" s="16" t="s">
        <v>52</v>
      </c>
    </row>
    <row r="136" ht="14.25" customHeight="1">
      <c r="A136" s="6" t="s">
        <v>179</v>
      </c>
      <c r="B136" s="8" t="s">
        <v>176</v>
      </c>
      <c r="C136" s="8"/>
      <c r="D136" s="10">
        <v>300.0</v>
      </c>
      <c r="E136" s="11">
        <v>10.0</v>
      </c>
      <c r="F136" s="13">
        <f t="shared" si="1"/>
        <v>290</v>
      </c>
      <c r="G136" s="15">
        <f t="shared" si="2"/>
        <v>0.9666666667</v>
      </c>
      <c r="H136" s="16"/>
    </row>
    <row r="137" ht="14.25" customHeight="1">
      <c r="A137" s="6" t="s">
        <v>179</v>
      </c>
      <c r="B137" s="8" t="s">
        <v>178</v>
      </c>
      <c r="C137" s="8"/>
      <c r="D137" s="10">
        <v>500.0</v>
      </c>
      <c r="E137" s="11">
        <v>10.0</v>
      </c>
      <c r="F137" s="13">
        <f t="shared" si="1"/>
        <v>490</v>
      </c>
      <c r="G137" s="15">
        <f t="shared" si="2"/>
        <v>0.98</v>
      </c>
      <c r="H137" s="16"/>
    </row>
    <row r="138" ht="14.25" customHeight="1">
      <c r="A138" s="6" t="s">
        <v>180</v>
      </c>
      <c r="B138" s="8" t="s">
        <v>176</v>
      </c>
      <c r="C138" s="8"/>
      <c r="D138" s="10">
        <v>850.0</v>
      </c>
      <c r="E138" s="11">
        <v>10.0</v>
      </c>
      <c r="F138" s="13">
        <f t="shared" si="1"/>
        <v>840</v>
      </c>
      <c r="G138" s="15">
        <f t="shared" si="2"/>
        <v>0.9882352941</v>
      </c>
      <c r="H138" s="16" t="s">
        <v>52</v>
      </c>
    </row>
    <row r="139" ht="14.25" customHeight="1">
      <c r="A139" s="6" t="s">
        <v>180</v>
      </c>
      <c r="B139" s="8" t="s">
        <v>177</v>
      </c>
      <c r="C139" s="8"/>
      <c r="D139" s="10">
        <v>900.0</v>
      </c>
      <c r="E139" s="11">
        <v>10.0</v>
      </c>
      <c r="F139" s="13">
        <f t="shared" si="1"/>
        <v>890</v>
      </c>
      <c r="G139" s="15">
        <f t="shared" si="2"/>
        <v>0.9888888889</v>
      </c>
      <c r="H139" s="16"/>
    </row>
    <row r="140" ht="14.25" customHeight="1">
      <c r="A140" s="6" t="s">
        <v>180</v>
      </c>
      <c r="B140" s="8" t="s">
        <v>178</v>
      </c>
      <c r="C140" s="8"/>
      <c r="D140" s="10">
        <v>1000.0</v>
      </c>
      <c r="E140" s="11">
        <v>10.0</v>
      </c>
      <c r="F140" s="13">
        <f t="shared" si="1"/>
        <v>990</v>
      </c>
      <c r="G140" s="15">
        <f t="shared" si="2"/>
        <v>0.99</v>
      </c>
      <c r="H140" s="16"/>
    </row>
    <row r="141" ht="14.25" customHeight="1">
      <c r="A141" s="6" t="s">
        <v>180</v>
      </c>
      <c r="B141" s="8" t="s">
        <v>181</v>
      </c>
      <c r="C141" s="8"/>
      <c r="D141" s="10">
        <v>700.0</v>
      </c>
      <c r="E141" s="11">
        <v>10.0</v>
      </c>
      <c r="F141" s="13">
        <f t="shared" si="1"/>
        <v>690</v>
      </c>
      <c r="G141" s="15">
        <f t="shared" si="2"/>
        <v>0.9857142857</v>
      </c>
      <c r="H141" s="16"/>
    </row>
    <row r="142" ht="14.25" customHeight="1">
      <c r="A142" s="6" t="s">
        <v>180</v>
      </c>
      <c r="B142" s="8" t="s">
        <v>182</v>
      </c>
      <c r="C142" s="8"/>
      <c r="D142" s="10">
        <v>1500.0</v>
      </c>
      <c r="E142" s="11">
        <v>10.0</v>
      </c>
      <c r="F142" s="13">
        <f t="shared" si="1"/>
        <v>1490</v>
      </c>
      <c r="G142" s="15">
        <f t="shared" si="2"/>
        <v>0.9933333333</v>
      </c>
      <c r="H142" s="16"/>
    </row>
    <row r="143" ht="14.25" customHeight="1">
      <c r="A143" s="6" t="s">
        <v>183</v>
      </c>
      <c r="B143" s="8" t="s">
        <v>184</v>
      </c>
      <c r="C143" s="8" t="s">
        <v>185</v>
      </c>
      <c r="D143" s="10">
        <v>150.0</v>
      </c>
      <c r="E143" s="11"/>
      <c r="F143" s="13" t="str">
        <f t="shared" si="1"/>
        <v/>
      </c>
      <c r="G143" s="15" t="str">
        <f t="shared" si="2"/>
        <v/>
      </c>
      <c r="H143" s="16"/>
    </row>
    <row r="144" ht="14.25" customHeight="1">
      <c r="A144" s="6" t="s">
        <v>183</v>
      </c>
      <c r="B144" s="8" t="s">
        <v>184</v>
      </c>
      <c r="C144" s="8" t="s">
        <v>186</v>
      </c>
      <c r="D144" s="10">
        <v>200.0</v>
      </c>
      <c r="E144" s="11"/>
      <c r="F144" s="13" t="str">
        <f t="shared" si="1"/>
        <v/>
      </c>
      <c r="G144" s="15" t="str">
        <f t="shared" si="2"/>
        <v/>
      </c>
      <c r="H144" s="16"/>
    </row>
    <row r="145" ht="14.25" customHeight="1">
      <c r="A145" s="6" t="s">
        <v>183</v>
      </c>
      <c r="B145" s="8" t="s">
        <v>184</v>
      </c>
      <c r="C145" s="8" t="s">
        <v>187</v>
      </c>
      <c r="D145" s="10">
        <v>250.0</v>
      </c>
      <c r="E145" s="11"/>
      <c r="F145" s="13" t="str">
        <f t="shared" si="1"/>
        <v/>
      </c>
      <c r="G145" s="15" t="str">
        <f t="shared" si="2"/>
        <v/>
      </c>
      <c r="H145" s="16"/>
    </row>
    <row r="146" ht="14.25" customHeight="1">
      <c r="A146" s="6" t="s">
        <v>183</v>
      </c>
      <c r="B146" s="8" t="s">
        <v>188</v>
      </c>
      <c r="C146" s="8" t="s">
        <v>185</v>
      </c>
      <c r="D146" s="10">
        <v>500.0</v>
      </c>
      <c r="E146" s="11">
        <v>20.0</v>
      </c>
      <c r="F146" s="13">
        <f t="shared" si="1"/>
        <v>480</v>
      </c>
      <c r="G146" s="15">
        <f t="shared" si="2"/>
        <v>0.96</v>
      </c>
      <c r="H146" s="16"/>
    </row>
    <row r="147" ht="14.25" customHeight="1">
      <c r="A147" s="6" t="s">
        <v>183</v>
      </c>
      <c r="B147" s="8" t="s">
        <v>188</v>
      </c>
      <c r="C147" s="8" t="s">
        <v>186</v>
      </c>
      <c r="D147" s="10">
        <v>700.0</v>
      </c>
      <c r="E147" s="11">
        <v>20.0</v>
      </c>
      <c r="F147" s="13">
        <f t="shared" si="1"/>
        <v>680</v>
      </c>
      <c r="G147" s="15">
        <f t="shared" si="2"/>
        <v>0.9714285714</v>
      </c>
      <c r="H147" s="16"/>
    </row>
    <row r="148" ht="14.25" customHeight="1">
      <c r="A148" s="6" t="s">
        <v>183</v>
      </c>
      <c r="B148" s="8" t="s">
        <v>188</v>
      </c>
      <c r="C148" s="8" t="s">
        <v>187</v>
      </c>
      <c r="D148" s="10">
        <v>1000.0</v>
      </c>
      <c r="E148" s="11">
        <v>20.0</v>
      </c>
      <c r="F148" s="13">
        <f t="shared" si="1"/>
        <v>980</v>
      </c>
      <c r="G148" s="15">
        <f t="shared" si="2"/>
        <v>0.98</v>
      </c>
      <c r="H148" s="16"/>
    </row>
    <row r="149" ht="14.25" customHeight="1">
      <c r="A149" s="6" t="s">
        <v>183</v>
      </c>
      <c r="B149" s="8" t="s">
        <v>189</v>
      </c>
      <c r="C149" s="8" t="s">
        <v>185</v>
      </c>
      <c r="D149" s="10">
        <v>1500.0</v>
      </c>
      <c r="E149" s="11">
        <v>50.0</v>
      </c>
      <c r="F149" s="13">
        <f t="shared" si="1"/>
        <v>1450</v>
      </c>
      <c r="G149" s="15">
        <f t="shared" si="2"/>
        <v>0.9666666667</v>
      </c>
      <c r="H149" s="16"/>
    </row>
    <row r="150" ht="14.25" customHeight="1">
      <c r="A150" s="6" t="s">
        <v>183</v>
      </c>
      <c r="B150" s="8" t="s">
        <v>189</v>
      </c>
      <c r="C150" s="8" t="s">
        <v>186</v>
      </c>
      <c r="D150" s="10">
        <v>2500.0</v>
      </c>
      <c r="E150" s="11">
        <v>50.0</v>
      </c>
      <c r="F150" s="13">
        <f t="shared" si="1"/>
        <v>2450</v>
      </c>
      <c r="G150" s="15">
        <f t="shared" si="2"/>
        <v>0.98</v>
      </c>
      <c r="H150" s="16" t="s">
        <v>52</v>
      </c>
    </row>
    <row r="151" ht="14.25" customHeight="1">
      <c r="A151" s="6" t="s">
        <v>183</v>
      </c>
      <c r="B151" s="8" t="s">
        <v>189</v>
      </c>
      <c r="C151" s="8" t="s">
        <v>187</v>
      </c>
      <c r="D151" s="10">
        <v>3100.0</v>
      </c>
      <c r="E151" s="11">
        <v>50.0</v>
      </c>
      <c r="F151" s="13">
        <f t="shared" si="1"/>
        <v>3050</v>
      </c>
      <c r="G151" s="15">
        <f t="shared" si="2"/>
        <v>0.9838709677</v>
      </c>
      <c r="H151" s="16"/>
    </row>
    <row r="152" ht="14.25" customHeight="1">
      <c r="A152" s="6" t="s">
        <v>183</v>
      </c>
      <c r="B152" s="8" t="s">
        <v>190</v>
      </c>
      <c r="C152" s="8" t="s">
        <v>185</v>
      </c>
      <c r="D152" s="10">
        <v>5000.0</v>
      </c>
      <c r="E152" s="11"/>
      <c r="F152" s="13" t="str">
        <f t="shared" si="1"/>
        <v/>
      </c>
      <c r="G152" s="15" t="str">
        <f t="shared" si="2"/>
        <v/>
      </c>
      <c r="H152" s="16" t="s">
        <v>191</v>
      </c>
    </row>
    <row r="153" ht="14.25" customHeight="1">
      <c r="A153" s="6" t="s">
        <v>183</v>
      </c>
      <c r="B153" s="8" t="s">
        <v>190</v>
      </c>
      <c r="C153" s="8" t="s">
        <v>186</v>
      </c>
      <c r="D153" s="10">
        <v>7500.0</v>
      </c>
      <c r="E153" s="11"/>
      <c r="F153" s="13" t="str">
        <f t="shared" si="1"/>
        <v/>
      </c>
      <c r="G153" s="15" t="str">
        <f t="shared" si="2"/>
        <v/>
      </c>
      <c r="H153" s="16" t="s">
        <v>191</v>
      </c>
    </row>
    <row r="154" ht="14.25" customHeight="1">
      <c r="A154" s="6" t="s">
        <v>183</v>
      </c>
      <c r="B154" s="8" t="s">
        <v>190</v>
      </c>
      <c r="C154" s="8" t="s">
        <v>187</v>
      </c>
      <c r="D154" s="10">
        <v>9000.0</v>
      </c>
      <c r="E154" s="11"/>
      <c r="F154" s="13" t="str">
        <f t="shared" si="1"/>
        <v/>
      </c>
      <c r="G154" s="15" t="str">
        <f t="shared" si="2"/>
        <v/>
      </c>
      <c r="H154" s="16" t="s">
        <v>191</v>
      </c>
    </row>
    <row r="155" ht="14.25" customHeight="1">
      <c r="A155" s="6" t="s">
        <v>183</v>
      </c>
      <c r="B155" s="8" t="s">
        <v>192</v>
      </c>
      <c r="C155" s="8" t="s">
        <v>185</v>
      </c>
      <c r="D155" s="10">
        <v>5500.0</v>
      </c>
      <c r="E155" s="11"/>
      <c r="F155" s="13" t="str">
        <f t="shared" si="1"/>
        <v/>
      </c>
      <c r="G155" s="15" t="str">
        <f t="shared" si="2"/>
        <v/>
      </c>
      <c r="H155" s="16" t="s">
        <v>191</v>
      </c>
    </row>
    <row r="156" ht="14.25" customHeight="1">
      <c r="A156" s="6" t="s">
        <v>183</v>
      </c>
      <c r="B156" s="8" t="s">
        <v>192</v>
      </c>
      <c r="C156" s="8" t="s">
        <v>186</v>
      </c>
      <c r="D156" s="10">
        <v>7500.0</v>
      </c>
      <c r="E156" s="11"/>
      <c r="F156" s="13" t="str">
        <f t="shared" si="1"/>
        <v/>
      </c>
      <c r="G156" s="15" t="str">
        <f t="shared" si="2"/>
        <v/>
      </c>
      <c r="H156" s="16" t="s">
        <v>191</v>
      </c>
    </row>
    <row r="157" ht="14.25" customHeight="1">
      <c r="A157" s="6" t="s">
        <v>183</v>
      </c>
      <c r="B157" s="8" t="s">
        <v>192</v>
      </c>
      <c r="C157" s="8" t="s">
        <v>187</v>
      </c>
      <c r="D157" s="10">
        <v>11000.0</v>
      </c>
      <c r="E157" s="11"/>
      <c r="F157" s="13" t="str">
        <f t="shared" si="1"/>
        <v/>
      </c>
      <c r="G157" s="15" t="str">
        <f t="shared" si="2"/>
        <v/>
      </c>
      <c r="H157" s="16" t="s">
        <v>191</v>
      </c>
    </row>
    <row r="158" ht="14.25" customHeight="1">
      <c r="A158" s="6" t="s">
        <v>193</v>
      </c>
      <c r="B158" s="8" t="s">
        <v>194</v>
      </c>
      <c r="C158" s="8"/>
      <c r="D158" s="10">
        <v>800.0</v>
      </c>
      <c r="E158" s="11">
        <v>40.0</v>
      </c>
      <c r="F158" s="13">
        <f t="shared" si="1"/>
        <v>760</v>
      </c>
      <c r="G158" s="15">
        <f t="shared" si="2"/>
        <v>0.95</v>
      </c>
      <c r="H158" s="16"/>
    </row>
    <row r="159" ht="14.25" customHeight="1">
      <c r="A159" s="6" t="s">
        <v>193</v>
      </c>
      <c r="B159" s="8" t="s">
        <v>195</v>
      </c>
      <c r="C159" s="8"/>
      <c r="D159" s="10">
        <v>1100.0</v>
      </c>
      <c r="E159" s="11">
        <v>40.0</v>
      </c>
      <c r="F159" s="13">
        <f t="shared" si="1"/>
        <v>1060</v>
      </c>
      <c r="G159" s="15">
        <f t="shared" si="2"/>
        <v>0.9636363636</v>
      </c>
      <c r="H159" s="16"/>
    </row>
    <row r="160" ht="14.25" customHeight="1">
      <c r="A160" s="6" t="s">
        <v>193</v>
      </c>
      <c r="B160" s="8" t="s">
        <v>196</v>
      </c>
      <c r="C160" s="8"/>
      <c r="D160" s="10">
        <v>1500.0</v>
      </c>
      <c r="E160" s="11">
        <v>100.0</v>
      </c>
      <c r="F160" s="13">
        <f t="shared" si="1"/>
        <v>1400</v>
      </c>
      <c r="G160" s="15">
        <f t="shared" si="2"/>
        <v>0.9333333333</v>
      </c>
      <c r="H160" s="16"/>
    </row>
    <row r="161" ht="14.25" customHeight="1">
      <c r="A161" s="6" t="s">
        <v>193</v>
      </c>
      <c r="B161" s="8" t="s">
        <v>197</v>
      </c>
      <c r="C161" s="8"/>
      <c r="D161" s="10">
        <v>2000.0</v>
      </c>
      <c r="E161" s="11">
        <v>100.0</v>
      </c>
      <c r="F161" s="13">
        <f t="shared" si="1"/>
        <v>1900</v>
      </c>
      <c r="G161" s="15">
        <f t="shared" si="2"/>
        <v>0.95</v>
      </c>
      <c r="H161" s="16"/>
    </row>
    <row r="162" ht="14.25" customHeight="1">
      <c r="A162" s="6" t="s">
        <v>193</v>
      </c>
      <c r="B162" s="8" t="s">
        <v>198</v>
      </c>
      <c r="C162" s="8"/>
      <c r="D162" s="10">
        <v>2500.0</v>
      </c>
      <c r="E162" s="11">
        <v>100.0</v>
      </c>
      <c r="F162" s="13">
        <f t="shared" si="1"/>
        <v>2400</v>
      </c>
      <c r="G162" s="15">
        <f t="shared" si="2"/>
        <v>0.96</v>
      </c>
      <c r="H162" s="16"/>
    </row>
    <row r="163" ht="14.25" customHeight="1">
      <c r="A163" s="6" t="s">
        <v>193</v>
      </c>
      <c r="B163" s="8" t="s">
        <v>199</v>
      </c>
      <c r="C163" s="8"/>
      <c r="D163" s="10">
        <v>3100.0</v>
      </c>
      <c r="E163" s="11">
        <v>100.0</v>
      </c>
      <c r="F163" s="13">
        <f t="shared" si="1"/>
        <v>3000</v>
      </c>
      <c r="G163" s="15">
        <f t="shared" si="2"/>
        <v>0.9677419355</v>
      </c>
      <c r="H163" s="16"/>
    </row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14"/>
    <col customWidth="1" min="3" max="3" width="8.71"/>
    <col customWidth="1" min="4" max="4" width="14.57"/>
    <col customWidth="1" min="5" max="5" width="13.57"/>
    <col customWidth="1" min="6" max="26" width="8.71"/>
  </cols>
  <sheetData>
    <row r="1" ht="14.25" customHeight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7</v>
      </c>
    </row>
    <row r="2" ht="14.25" customHeight="1">
      <c r="A2" s="1">
        <v>1.0</v>
      </c>
      <c r="B2" s="3">
        <v>46251.0</v>
      </c>
      <c r="C2" s="1" t="s">
        <v>7</v>
      </c>
      <c r="D2" s="1">
        <v>450.0</v>
      </c>
      <c r="E2" s="1" t="s">
        <v>9</v>
      </c>
    </row>
    <row r="3" ht="14.25" customHeight="1">
      <c r="A3" s="1">
        <v>2.0</v>
      </c>
      <c r="B3" s="3">
        <v>46252.0</v>
      </c>
      <c r="D3" s="1">
        <v>660.0</v>
      </c>
      <c r="E3" s="4" t="s">
        <v>12</v>
      </c>
    </row>
    <row r="4" ht="14.25" customHeight="1">
      <c r="A4" s="1">
        <v>3.0</v>
      </c>
      <c r="B4" s="3">
        <v>46253.0</v>
      </c>
      <c r="D4" s="1">
        <v>1110.0</v>
      </c>
      <c r="E4" s="4" t="s">
        <v>12</v>
      </c>
    </row>
    <row r="5" ht="14.25" customHeight="1">
      <c r="A5" s="1">
        <v>4.0</v>
      </c>
      <c r="B5" s="3">
        <v>46254.0</v>
      </c>
      <c r="D5" s="1">
        <v>250.0</v>
      </c>
      <c r="E5" s="4" t="s">
        <v>12</v>
      </c>
    </row>
    <row r="6" ht="14.25" customHeight="1">
      <c r="A6" s="1">
        <v>5.0</v>
      </c>
      <c r="B6" s="3">
        <v>46255.0</v>
      </c>
      <c r="D6" s="1">
        <v>750.0</v>
      </c>
      <c r="E6" s="4" t="s">
        <v>12</v>
      </c>
    </row>
    <row r="7" ht="14.25" customHeight="1">
      <c r="A7" s="1">
        <v>6.0</v>
      </c>
      <c r="B7" s="3">
        <v>46256.0</v>
      </c>
    </row>
    <row r="8" ht="14.25" customHeight="1">
      <c r="A8" s="1">
        <v>7.0</v>
      </c>
      <c r="B8" s="3">
        <v>46257.0</v>
      </c>
    </row>
    <row r="9" ht="14.25" customHeight="1">
      <c r="A9" s="1">
        <v>8.0</v>
      </c>
      <c r="B9" s="3">
        <v>46258.0</v>
      </c>
      <c r="D9" s="1">
        <v>1000.0</v>
      </c>
      <c r="E9" s="1" t="s">
        <v>12</v>
      </c>
    </row>
    <row r="10" ht="14.25" customHeight="1">
      <c r="A10" s="1">
        <v>9.0</v>
      </c>
      <c r="B10" s="3">
        <v>46258.0</v>
      </c>
      <c r="D10" s="1">
        <v>1200.0</v>
      </c>
      <c r="E10" s="1" t="s">
        <v>28</v>
      </c>
    </row>
    <row r="11" ht="14.25" customHeight="1">
      <c r="A11" s="1">
        <v>10.0</v>
      </c>
      <c r="B11" s="3">
        <v>46259.0</v>
      </c>
    </row>
    <row r="12" ht="14.25" customHeight="1">
      <c r="A12" s="1">
        <v>11.0</v>
      </c>
      <c r="B12" s="3">
        <v>46260.0</v>
      </c>
      <c r="D12" s="1">
        <v>630.0</v>
      </c>
      <c r="E12" s="4" t="s">
        <v>12</v>
      </c>
    </row>
    <row r="13" ht="14.25" customHeight="1">
      <c r="A13" s="1">
        <v>12.0</v>
      </c>
      <c r="B13" s="3">
        <v>46261.0</v>
      </c>
    </row>
    <row r="14" ht="14.25" customHeight="1">
      <c r="A14" s="1">
        <v>13.0</v>
      </c>
      <c r="B14" s="3">
        <v>46262.0</v>
      </c>
    </row>
    <row r="15" ht="14.25" customHeight="1">
      <c r="A15" s="1">
        <v>14.0</v>
      </c>
      <c r="B15" s="3">
        <v>46263.0</v>
      </c>
    </row>
    <row r="16" ht="14.25" customHeight="1">
      <c r="A16" s="1">
        <v>15.0</v>
      </c>
      <c r="B16" s="3">
        <v>46264.0</v>
      </c>
    </row>
    <row r="17" ht="14.25" customHeight="1">
      <c r="A17" s="1">
        <v>16.0</v>
      </c>
      <c r="B17" s="3">
        <v>46265.0</v>
      </c>
    </row>
    <row r="18" ht="14.25" customHeight="1">
      <c r="A18" s="1">
        <v>17.0</v>
      </c>
      <c r="B18" s="3">
        <v>46266.0</v>
      </c>
    </row>
    <row r="19" ht="14.25" customHeight="1">
      <c r="A19" s="1">
        <v>18.0</v>
      </c>
      <c r="B19" s="3">
        <v>46267.0</v>
      </c>
    </row>
    <row r="20" ht="14.25" customHeight="1">
      <c r="A20" s="1">
        <v>19.0</v>
      </c>
      <c r="B20" s="3">
        <v>46268.0</v>
      </c>
      <c r="D20" s="1">
        <v>180.0</v>
      </c>
      <c r="E20" s="1" t="s">
        <v>12</v>
      </c>
    </row>
    <row r="21" ht="14.25" customHeight="1">
      <c r="A21" s="1">
        <v>20.0</v>
      </c>
      <c r="B21" s="3">
        <v>46268.0</v>
      </c>
      <c r="D21" s="1">
        <v>450.0</v>
      </c>
      <c r="E21" s="1" t="s">
        <v>28</v>
      </c>
    </row>
    <row r="22" ht="14.25" customHeight="1">
      <c r="A22" s="1">
        <v>21.0</v>
      </c>
      <c r="B22" s="3">
        <v>46270.0</v>
      </c>
      <c r="D22" s="1">
        <v>1240.0</v>
      </c>
      <c r="E22" s="1" t="s">
        <v>12</v>
      </c>
    </row>
    <row r="23" ht="14.25" customHeight="1">
      <c r="A23" s="1">
        <v>22.0</v>
      </c>
      <c r="B23" s="3">
        <v>46270.0</v>
      </c>
      <c r="D23" s="1">
        <v>110.0</v>
      </c>
      <c r="E23" s="1" t="s">
        <v>28</v>
      </c>
    </row>
    <row r="24" ht="14.25" customHeight="1">
      <c r="A24" s="1">
        <v>23.0</v>
      </c>
      <c r="B24" s="3">
        <v>46271.0</v>
      </c>
      <c r="D24" s="1">
        <f>300+80+150</f>
        <v>530</v>
      </c>
      <c r="E24" s="1" t="s">
        <v>12</v>
      </c>
    </row>
    <row r="25" ht="14.25" customHeight="1">
      <c r="A25" s="1">
        <v>24.0</v>
      </c>
      <c r="B25" s="3">
        <v>46271.0</v>
      </c>
      <c r="D25" s="1">
        <v>150.0</v>
      </c>
      <c r="E25" s="1" t="s">
        <v>28</v>
      </c>
    </row>
    <row r="26" ht="14.25" customHeight="1">
      <c r="A26" s="1">
        <v>25.0</v>
      </c>
      <c r="B26" s="3">
        <v>46272.0</v>
      </c>
      <c r="D26" s="1">
        <f>100+150+200</f>
        <v>450</v>
      </c>
      <c r="E26" s="1" t="s">
        <v>12</v>
      </c>
    </row>
    <row r="27" ht="14.25" customHeight="1">
      <c r="A27" s="1">
        <v>26.0</v>
      </c>
      <c r="B27" s="3">
        <v>46272.0</v>
      </c>
      <c r="D27" s="1">
        <v>110.0</v>
      </c>
      <c r="E27" s="1" t="s">
        <v>28</v>
      </c>
    </row>
    <row r="28" ht="14.25" customHeight="1">
      <c r="A28" s="1">
        <v>27.0</v>
      </c>
      <c r="B28" s="3">
        <v>46273.0</v>
      </c>
      <c r="D28" s="1">
        <f>450+150+150+80</f>
        <v>830</v>
      </c>
      <c r="E28" s="1" t="s">
        <v>12</v>
      </c>
    </row>
    <row r="29" ht="14.25" customHeight="1">
      <c r="A29" s="1">
        <v>28.0</v>
      </c>
      <c r="B29" s="3">
        <v>46274.0</v>
      </c>
      <c r="D29" s="1">
        <f>400+100+100+200</f>
        <v>800</v>
      </c>
      <c r="E29" s="1" t="s">
        <v>12</v>
      </c>
    </row>
    <row r="30" ht="14.25" customHeight="1">
      <c r="A30" s="1">
        <v>29.0</v>
      </c>
      <c r="B30" s="3">
        <v>46274.0</v>
      </c>
      <c r="D30" s="1">
        <v>1000.0</v>
      </c>
      <c r="E30" s="1" t="s">
        <v>28</v>
      </c>
    </row>
    <row r="31" ht="14.25" customHeight="1">
      <c r="A31" s="1">
        <v>30.0</v>
      </c>
      <c r="B31" s="3">
        <v>46275.0</v>
      </c>
      <c r="D31" s="1">
        <f>150+100+900+150</f>
        <v>1300</v>
      </c>
      <c r="E31" s="1" t="s">
        <v>12</v>
      </c>
    </row>
    <row r="32" ht="14.25" customHeight="1">
      <c r="A32" s="4">
        <v>31.0</v>
      </c>
      <c r="B32" s="3">
        <v>46276.0</v>
      </c>
      <c r="D32" s="1">
        <f>100+350+700+250+150+140</f>
        <v>1690</v>
      </c>
      <c r="E32" s="4" t="s">
        <v>12</v>
      </c>
    </row>
    <row r="33" ht="14.25" customHeight="1">
      <c r="A33" s="4">
        <v>31.0</v>
      </c>
      <c r="B33" s="3">
        <v>46276.0</v>
      </c>
      <c r="D33" s="4">
        <v>50.0</v>
      </c>
      <c r="E33" s="4" t="s">
        <v>28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3" width="20.0"/>
    <col customWidth="1" min="4" max="6" width="16.0"/>
    <col customWidth="1" min="7" max="7" width="14.0"/>
    <col customWidth="1" min="8" max="8" width="24.0"/>
    <col customWidth="1" min="9" max="26" width="8.57"/>
  </cols>
  <sheetData>
    <row r="1" ht="31.5" customHeight="1">
      <c r="A1" s="2" t="s">
        <v>1</v>
      </c>
      <c r="B1" s="2" t="s">
        <v>8</v>
      </c>
      <c r="C1" s="2" t="s">
        <v>10</v>
      </c>
      <c r="D1" s="2" t="s">
        <v>11</v>
      </c>
      <c r="E1" s="2" t="s">
        <v>13</v>
      </c>
      <c r="F1" s="2" t="s">
        <v>15</v>
      </c>
      <c r="G1" s="2" t="s">
        <v>17</v>
      </c>
      <c r="H1" s="2" t="s">
        <v>19</v>
      </c>
    </row>
    <row r="2" ht="14.25" customHeight="1">
      <c r="A2" s="6" t="s">
        <v>21</v>
      </c>
      <c r="B2" s="12">
        <f>COUNTIF('Price List &amp; Margins'!$A$2:$A$163,A2)</f>
        <v>6</v>
      </c>
      <c r="C2" s="14">
        <f>IFERROR(AVERAGEIFS('Price List &amp; Margins'!$D$2:$D$163,'Price List &amp; Margins'!$A$2:$A$163,A2),"")</f>
        <v>73.33333333</v>
      </c>
      <c r="D2" s="12">
        <f>COUNTIFS('Price List &amp; Margins'!$A$2:$A$163,A2,'Price List &amp; Margins'!$E$2:$E$163,"&lt;&gt;")</f>
        <v>6</v>
      </c>
      <c r="E2" s="14">
        <f>IFERROR(AVERAGEIFS('Price List &amp; Margins'!$E$2:$E$163,'Price List &amp; Margins'!$A$2:$A$163,A2),"")</f>
        <v>6.666666667</v>
      </c>
      <c r="F2" s="14">
        <f>IFERROR(AVERAGEIFS('Price List &amp; Margins'!$F$2:$F$163,'Price List &amp; Margins'!$A$2:$A$163,A2),"")</f>
        <v>66.66666667</v>
      </c>
      <c r="G2" s="15">
        <f>IFERROR(AVERAGEIFS('Price List &amp; Margins'!$G$2:$G$163,'Price List &amp; Margins'!$A$2:$A$163,A2),"")</f>
        <v>0.8733333333</v>
      </c>
      <c r="H2" s="14">
        <f>IFERROR(SUMIFS('Price List &amp; Margins'!$F$2:$F$163,'Price List &amp; Margins'!$A$2:$A$163,A2),"")</f>
        <v>400</v>
      </c>
    </row>
    <row r="3" ht="14.25" customHeight="1">
      <c r="A3" s="6" t="s">
        <v>46</v>
      </c>
      <c r="B3" s="12">
        <f>COUNTIF('Price List &amp; Margins'!$A$2:$A$163,A3)</f>
        <v>6</v>
      </c>
      <c r="C3" s="14">
        <f>IFERROR(AVERAGEIFS('Price List &amp; Margins'!$D$2:$D$163,'Price List &amp; Margins'!$A$2:$A$163,A3),"")</f>
        <v>116.6666667</v>
      </c>
      <c r="D3" s="12">
        <f>COUNTIFS('Price List &amp; Margins'!$A$2:$A$163,A3,'Price List &amp; Margins'!$E$2:$E$163,"&lt;&gt;")</f>
        <v>6</v>
      </c>
      <c r="E3" s="14">
        <f>IFERROR(AVERAGEIFS('Price List &amp; Margins'!$E$2:$E$163,'Price List &amp; Margins'!$A$2:$A$163,A3),"")</f>
        <v>12.5</v>
      </c>
      <c r="F3" s="14">
        <f>IFERROR(AVERAGEIFS('Price List &amp; Margins'!$F$2:$F$163,'Price List &amp; Margins'!$A$2:$A$163,A3),"")</f>
        <v>104.1666667</v>
      </c>
      <c r="G3" s="15">
        <f>IFERROR(AVERAGEIFS('Price List &amp; Margins'!$G$2:$G$163,'Price List &amp; Margins'!$A$2:$A$163,A3),"")</f>
        <v>0.9041666667</v>
      </c>
      <c r="H3" s="14">
        <f>IFERROR(SUMIFS('Price List &amp; Margins'!$F$2:$F$163,'Price List &amp; Margins'!$A$2:$A$163,A3),"")</f>
        <v>625</v>
      </c>
    </row>
    <row r="4" ht="14.25" customHeight="1">
      <c r="A4" s="6" t="s">
        <v>47</v>
      </c>
      <c r="B4" s="12">
        <f>COUNTIF('Price List &amp; Margins'!$A$2:$A$163,A4)</f>
        <v>24</v>
      </c>
      <c r="C4" s="14">
        <f>IFERROR(AVERAGEIFS('Price List &amp; Margins'!$D$2:$D$163,'Price List &amp; Margins'!$A$2:$A$163,A4),"")</f>
        <v>454.5454545</v>
      </c>
      <c r="D4" s="12">
        <f>COUNTIFS('Price List &amp; Margins'!$A$2:$A$163,A4,'Price List &amp; Margins'!$E$2:$E$163,"&lt;&gt;")</f>
        <v>24</v>
      </c>
      <c r="E4" s="14">
        <f>IFERROR(AVERAGEIFS('Price List &amp; Margins'!$E$2:$E$163,'Price List &amp; Margins'!$A$2:$A$163,A4),"")</f>
        <v>12.5</v>
      </c>
      <c r="F4" s="14">
        <f>IFERROR(AVERAGEIFS('Price List &amp; Margins'!$F$2:$F$163,'Price List &amp; Margins'!$A$2:$A$163,A4),"")</f>
        <v>404.1666667</v>
      </c>
      <c r="G4" s="15">
        <f>IFERROR(AVERAGEIFS('Price List &amp; Margins'!$G$2:$G$163,'Price List &amp; Margins'!$A$2:$A$163,A4),"")</f>
        <v>0.9687554113</v>
      </c>
      <c r="H4" s="14">
        <f>IFERROR(SUMIFS('Price List &amp; Margins'!$F$2:$F$163,'Price List &amp; Margins'!$A$2:$A$163,A4),"")</f>
        <v>9700</v>
      </c>
    </row>
    <row r="5" ht="14.25" customHeight="1">
      <c r="A5" s="6" t="s">
        <v>99</v>
      </c>
      <c r="B5" s="12">
        <f>COUNTIF('Price List &amp; Margins'!$A$2:$A$163,A5)</f>
        <v>2</v>
      </c>
      <c r="C5" s="14">
        <f>IFERROR(AVERAGEIFS('Price List &amp; Margins'!$D$2:$D$163,'Price List &amp; Margins'!$A$2:$A$163,A5),"")</f>
        <v>525</v>
      </c>
      <c r="D5" s="12">
        <f>COUNTIFS('Price List &amp; Margins'!$A$2:$A$163,A5,'Price List &amp; Margins'!$E$2:$E$163,"&lt;&gt;")</f>
        <v>2</v>
      </c>
      <c r="E5" s="14">
        <f>IFERROR(AVERAGEIFS('Price List &amp; Margins'!$E$2:$E$163,'Price List &amp; Margins'!$A$2:$A$163,A5),"")</f>
        <v>30</v>
      </c>
      <c r="F5" s="14">
        <f>IFERROR(AVERAGEIFS('Price List &amp; Margins'!$F$2:$F$163,'Price List &amp; Margins'!$A$2:$A$163,A5),"")</f>
        <v>495</v>
      </c>
      <c r="G5" s="15">
        <f>IFERROR(AVERAGEIFS('Price List &amp; Margins'!$G$2:$G$163,'Price List &amp; Margins'!$A$2:$A$163,A5),"")</f>
        <v>0.9427272727</v>
      </c>
      <c r="H5" s="14">
        <f>IFERROR(SUMIFS('Price List &amp; Margins'!$F$2:$F$163,'Price List &amp; Margins'!$A$2:$A$163,A5),"")</f>
        <v>990</v>
      </c>
    </row>
    <row r="6" ht="14.25" customHeight="1">
      <c r="A6" s="6" t="s">
        <v>102</v>
      </c>
      <c r="B6" s="12">
        <f>COUNTIF('Price List &amp; Margins'!$A$2:$A$163,A6)</f>
        <v>25</v>
      </c>
      <c r="C6" s="14">
        <f>IFERROR(AVERAGEIFS('Price List &amp; Margins'!$D$2:$D$163,'Price List &amp; Margins'!$A$2:$A$163,A6),"")</f>
        <v>552</v>
      </c>
      <c r="D6" s="12">
        <f>COUNTIFS('Price List &amp; Margins'!$A$2:$A$163,A6,'Price List &amp; Margins'!$E$2:$E$163,"&lt;&gt;")</f>
        <v>25</v>
      </c>
      <c r="E6" s="14">
        <f>IFERROR(AVERAGEIFS('Price List &amp; Margins'!$E$2:$E$163,'Price List &amp; Margins'!$A$2:$A$163,A6),"")</f>
        <v>43.2</v>
      </c>
      <c r="F6" s="14">
        <f>IFERROR(AVERAGEIFS('Price List &amp; Margins'!$F$2:$F$163,'Price List &amp; Margins'!$A$2:$A$163,A6),"")</f>
        <v>508.8</v>
      </c>
      <c r="G6" s="15">
        <f>IFERROR(AVERAGEIFS('Price List &amp; Margins'!$G$2:$G$163,'Price List &amp; Margins'!$A$2:$A$163,A6),"")</f>
        <v>0.8942448832</v>
      </c>
      <c r="H6" s="14">
        <f>IFERROR(SUMIFS('Price List &amp; Margins'!$F$2:$F$163,'Price List &amp; Margins'!$A$2:$A$163,A6),"")</f>
        <v>12720</v>
      </c>
    </row>
    <row r="7" ht="14.25" customHeight="1">
      <c r="A7" s="6" t="s">
        <v>112</v>
      </c>
      <c r="B7" s="12">
        <f>COUNTIF('Price List &amp; Margins'!$A$2:$A$163,A7)</f>
        <v>4</v>
      </c>
      <c r="C7" s="14">
        <f>IFERROR(AVERAGEIFS('Price List &amp; Margins'!$D$2:$D$163,'Price List &amp; Margins'!$A$2:$A$163,A7),"")</f>
        <v>500</v>
      </c>
      <c r="D7" s="12">
        <f>COUNTIFS('Price List &amp; Margins'!$A$2:$A$163,A7,'Price List &amp; Margins'!$E$2:$E$163,"&lt;&gt;")</f>
        <v>4</v>
      </c>
      <c r="E7" s="14">
        <f>IFERROR(AVERAGEIFS('Price List &amp; Margins'!$E$2:$E$163,'Price List &amp; Margins'!$A$2:$A$163,A7),"")</f>
        <v>70</v>
      </c>
      <c r="F7" s="14">
        <f>IFERROR(AVERAGEIFS('Price List &amp; Margins'!$F$2:$F$163,'Price List &amp; Margins'!$A$2:$A$163,A7),"")</f>
        <v>430</v>
      </c>
      <c r="G7" s="15">
        <f>IFERROR(AVERAGEIFS('Price List &amp; Margins'!$G$2:$G$163,'Price List &amp; Margins'!$A$2:$A$163,A7),"")</f>
        <v>0.8795833333</v>
      </c>
      <c r="H7" s="14">
        <f>IFERROR(SUMIFS('Price List &amp; Margins'!$F$2:$F$163,'Price List &amp; Margins'!$A$2:$A$163,A7),"")</f>
        <v>1720</v>
      </c>
    </row>
    <row r="8" ht="14.25" customHeight="1">
      <c r="A8" s="6" t="s">
        <v>118</v>
      </c>
      <c r="B8" s="12">
        <f>COUNTIF('Price List &amp; Margins'!$A$2:$A$163,A8)</f>
        <v>12</v>
      </c>
      <c r="C8" s="14">
        <f>IFERROR(AVERAGEIFS('Price List &amp; Margins'!$D$2:$D$163,'Price List &amp; Margins'!$A$2:$A$163,A8),"")</f>
        <v>1058.333333</v>
      </c>
      <c r="D8" s="12">
        <f>COUNTIFS('Price List &amp; Margins'!$A$2:$A$163,A8,'Price List &amp; Margins'!$E$2:$E$163,"&lt;&gt;")</f>
        <v>12</v>
      </c>
      <c r="E8" s="14">
        <f>IFERROR(AVERAGEIFS('Price List &amp; Margins'!$E$2:$E$163,'Price List &amp; Margins'!$A$2:$A$163,A8),"")</f>
        <v>250</v>
      </c>
      <c r="F8" s="14">
        <f>IFERROR(AVERAGEIFS('Price List &amp; Margins'!$F$2:$F$163,'Price List &amp; Margins'!$A$2:$A$163,A8),"")</f>
        <v>808.3333333</v>
      </c>
      <c r="G8" s="15">
        <f>IFERROR(AVERAGEIFS('Price List &amp; Margins'!$G$2:$G$163,'Price List &amp; Margins'!$A$2:$A$163,A8),"")</f>
        <v>0.7430555556</v>
      </c>
      <c r="H8" s="14">
        <f>IFERROR(SUMIFS('Price List &amp; Margins'!$F$2:$F$163,'Price List &amp; Margins'!$A$2:$A$163,A8),"")</f>
        <v>9700</v>
      </c>
    </row>
    <row r="9" ht="14.25" customHeight="1">
      <c r="A9" s="6" t="s">
        <v>126</v>
      </c>
      <c r="B9" s="12">
        <f>COUNTIF('Price List &amp; Margins'!$A$2:$A$163,A9)</f>
        <v>10</v>
      </c>
      <c r="C9" s="14">
        <f>IFERROR(AVERAGEIFS('Price List &amp; Margins'!$D$2:$D$163,'Price List &amp; Margins'!$A$2:$A$163,A9),"")</f>
        <v>2722.222222</v>
      </c>
      <c r="D9" s="12">
        <f>COUNTIFS('Price List &amp; Margins'!$A$2:$A$163,A9,'Price List &amp; Margins'!$E$2:$E$163,"&lt;&gt;")</f>
        <v>9</v>
      </c>
      <c r="E9" s="14">
        <f>IFERROR(AVERAGEIFS('Price List &amp; Margins'!$E$2:$E$163,'Price List &amp; Margins'!$A$2:$A$163,A9),"")</f>
        <v>224.4444444</v>
      </c>
      <c r="F9" s="14">
        <f>IFERROR(AVERAGEIFS('Price List &amp; Margins'!$F$2:$F$163,'Price List &amp; Margins'!$A$2:$A$163,A9),"")</f>
        <v>2497.777778</v>
      </c>
      <c r="G9" s="15">
        <f>IFERROR(AVERAGEIFS('Price List &amp; Margins'!$G$2:$G$163,'Price List &amp; Margins'!$A$2:$A$163,A9),"")</f>
        <v>0.9100132275</v>
      </c>
      <c r="H9" s="14">
        <f>IFERROR(SUMIFS('Price List &amp; Margins'!$F$2:$F$163,'Price List &amp; Margins'!$A$2:$A$163,A9),"")</f>
        <v>22480</v>
      </c>
    </row>
    <row r="10" ht="14.25" customHeight="1">
      <c r="A10" s="6" t="s">
        <v>136</v>
      </c>
      <c r="B10" s="12">
        <f>COUNTIF('Price List &amp; Margins'!$A$2:$A$163,A10)</f>
        <v>4</v>
      </c>
      <c r="C10" s="14">
        <f>IFERROR(AVERAGEIFS('Price List &amp; Margins'!$D$2:$D$163,'Price List &amp; Margins'!$A$2:$A$163,A10),"")</f>
        <v>400</v>
      </c>
      <c r="D10" s="12">
        <f>COUNTIFS('Price List &amp; Margins'!$A$2:$A$163,A10,'Price List &amp; Margins'!$E$2:$E$163,"&lt;&gt;")</f>
        <v>4</v>
      </c>
      <c r="E10" s="14">
        <f>IFERROR(AVERAGEIFS('Price List &amp; Margins'!$E$2:$E$163,'Price List &amp; Margins'!$A$2:$A$163,A10),"")</f>
        <v>192.5</v>
      </c>
      <c r="F10" s="14">
        <f>IFERROR(AVERAGEIFS('Price List &amp; Margins'!$F$2:$F$163,'Price List &amp; Margins'!$A$2:$A$163,A10),"")</f>
        <v>107.5</v>
      </c>
      <c r="G10" s="15">
        <f>IFERROR(AVERAGEIFS('Price List &amp; Margins'!$G$2:$G$163,'Price List &amp; Margins'!$A$2:$A$163,A10),"")</f>
        <v>0.6027777778</v>
      </c>
      <c r="H10" s="14">
        <f>IFERROR(SUMIFS('Price List &amp; Margins'!$F$2:$F$163,'Price List &amp; Margins'!$A$2:$A$163,A10),"")</f>
        <v>430</v>
      </c>
    </row>
    <row r="11" ht="14.25" customHeight="1">
      <c r="A11" s="6" t="s">
        <v>139</v>
      </c>
      <c r="B11" s="12">
        <f>COUNTIF('Price List &amp; Margins'!$A$2:$A$163,A11)</f>
        <v>4</v>
      </c>
      <c r="C11" s="14">
        <f>IFERROR(AVERAGEIFS('Price List &amp; Margins'!$D$2:$D$163,'Price List &amp; Margins'!$A$2:$A$163,A11),"")</f>
        <v>512.5</v>
      </c>
      <c r="D11" s="12">
        <f>COUNTIFS('Price List &amp; Margins'!$A$2:$A$163,A11,'Price List &amp; Margins'!$E$2:$E$163,"&lt;&gt;")</f>
        <v>4</v>
      </c>
      <c r="E11" s="14">
        <f>IFERROR(AVERAGEIFS('Price List &amp; Margins'!$E$2:$E$163,'Price List &amp; Margins'!$A$2:$A$163,A11),"")</f>
        <v>20</v>
      </c>
      <c r="F11" s="14">
        <f>IFERROR(AVERAGEIFS('Price List &amp; Margins'!$F$2:$F$163,'Price List &amp; Margins'!$A$2:$A$163,A11),"")</f>
        <v>492.5</v>
      </c>
      <c r="G11" s="15">
        <f>IFERROR(AVERAGEIFS('Price List &amp; Margins'!$G$2:$G$163,'Price List &amp; Margins'!$A$2:$A$163,A11),"")</f>
        <v>0.9607070707</v>
      </c>
      <c r="H11" s="14">
        <f>IFERROR(SUMIFS('Price List &amp; Margins'!$F$2:$F$163,'Price List &amp; Margins'!$A$2:$A$163,A11),"")</f>
        <v>1970</v>
      </c>
    </row>
    <row r="12" ht="14.25" customHeight="1">
      <c r="A12" s="6" t="s">
        <v>144</v>
      </c>
      <c r="B12" s="12">
        <f>COUNTIF('Price List &amp; Margins'!$A$2:$A$163,A12)</f>
        <v>4</v>
      </c>
      <c r="C12" s="14">
        <f>IFERROR(AVERAGEIFS('Price List &amp; Margins'!$D$2:$D$163,'Price List &amp; Margins'!$A$2:$A$163,A12),"")</f>
        <v>600</v>
      </c>
      <c r="D12" s="12">
        <f>COUNTIFS('Price List &amp; Margins'!$A$2:$A$163,A12,'Price List &amp; Margins'!$E$2:$E$163,"&lt;&gt;")</f>
        <v>4</v>
      </c>
      <c r="E12" s="14">
        <f>IFERROR(AVERAGEIFS('Price List &amp; Margins'!$E$2:$E$163,'Price List &amp; Margins'!$A$2:$A$163,A12),"")</f>
        <v>20</v>
      </c>
      <c r="F12" s="14">
        <f>IFERROR(AVERAGEIFS('Price List &amp; Margins'!$F$2:$F$163,'Price List &amp; Margins'!$A$2:$A$163,A12),"")</f>
        <v>580</v>
      </c>
      <c r="G12" s="15">
        <f>IFERROR(AVERAGEIFS('Price List &amp; Margins'!$G$2:$G$163,'Price List &amp; Margins'!$A$2:$A$163,A12),"")</f>
        <v>0.9654390054</v>
      </c>
      <c r="H12" s="14">
        <f>IFERROR(SUMIFS('Price List &amp; Margins'!$F$2:$F$163,'Price List &amp; Margins'!$A$2:$A$163,A12),"")</f>
        <v>2320</v>
      </c>
    </row>
    <row r="13" ht="14.25" customHeight="1">
      <c r="A13" s="6" t="s">
        <v>145</v>
      </c>
      <c r="B13" s="12">
        <f>COUNTIF('Price List &amp; Margins'!$A$2:$A$163,A13)</f>
        <v>6</v>
      </c>
      <c r="C13" s="14">
        <f>IFERROR(AVERAGEIFS('Price List &amp; Margins'!$D$2:$D$163,'Price List &amp; Margins'!$A$2:$A$163,A13),"")</f>
        <v>241.6666667</v>
      </c>
      <c r="D13" s="12">
        <f>COUNTIFS('Price List &amp; Margins'!$A$2:$A$163,A13,'Price List &amp; Margins'!$E$2:$E$163,"&lt;&gt;")</f>
        <v>6</v>
      </c>
      <c r="E13" s="14">
        <f>IFERROR(AVERAGEIFS('Price List &amp; Margins'!$E$2:$E$163,'Price List &amp; Margins'!$A$2:$A$163,A13),"")</f>
        <v>10</v>
      </c>
      <c r="F13" s="14">
        <f>IFERROR(AVERAGEIFS('Price List &amp; Margins'!$F$2:$F$163,'Price List &amp; Margins'!$A$2:$A$163,A13),"")</f>
        <v>231.6666667</v>
      </c>
      <c r="G13" s="15">
        <f>IFERROR(AVERAGEIFS('Price List &amp; Margins'!$G$2:$G$163,'Price List &amp; Margins'!$A$2:$A$163,A13),"")</f>
        <v>0.9583333333</v>
      </c>
      <c r="H13" s="14">
        <f>IFERROR(SUMIFS('Price List &amp; Margins'!$F$2:$F$163,'Price List &amp; Margins'!$A$2:$A$163,A13),"")</f>
        <v>1390</v>
      </c>
    </row>
    <row r="14" ht="14.25" customHeight="1">
      <c r="A14" s="6" t="s">
        <v>152</v>
      </c>
      <c r="B14" s="12">
        <f>COUNTIF('Price List &amp; Margins'!$A$2:$A$163,A14)</f>
        <v>3</v>
      </c>
      <c r="C14" s="14">
        <f>IFERROR(AVERAGEIFS('Price List &amp; Margins'!$D$2:$D$163,'Price List &amp; Margins'!$A$2:$A$163,A14),"")</f>
        <v>283.3333333</v>
      </c>
      <c r="D14" s="12">
        <f>COUNTIFS('Price List &amp; Margins'!$A$2:$A$163,A14,'Price List &amp; Margins'!$E$2:$E$163,"&lt;&gt;")</f>
        <v>3</v>
      </c>
      <c r="E14" s="14">
        <f>IFERROR(AVERAGEIFS('Price List &amp; Margins'!$E$2:$E$163,'Price List &amp; Margins'!$A$2:$A$163,A14),"")</f>
        <v>13.33333333</v>
      </c>
      <c r="F14" s="14">
        <f>IFERROR(AVERAGEIFS('Price List &amp; Margins'!$F$2:$F$163,'Price List &amp; Margins'!$A$2:$A$163,A14),"")</f>
        <v>270</v>
      </c>
      <c r="G14" s="15">
        <f>IFERROR(AVERAGEIFS('Price List &amp; Margins'!$G$2:$G$163,'Price List &amp; Margins'!$A$2:$A$163,A14),"")</f>
        <v>0.9533333333</v>
      </c>
      <c r="H14" s="14">
        <f>IFERROR(SUMIFS('Price List &amp; Margins'!$F$2:$F$163,'Price List &amp; Margins'!$A$2:$A$163,A14),"")</f>
        <v>810</v>
      </c>
    </row>
    <row r="15" ht="14.25" customHeight="1">
      <c r="A15" s="6" t="s">
        <v>156</v>
      </c>
      <c r="B15" s="12">
        <f>COUNTIF('Price List &amp; Margins'!$A$2:$A$163,A15)</f>
        <v>6</v>
      </c>
      <c r="C15" s="14">
        <f>IFERROR(AVERAGEIFS('Price List &amp; Margins'!$D$2:$D$163,'Price List &amp; Margins'!$A$2:$A$163,A15),"")</f>
        <v>791.6666667</v>
      </c>
      <c r="D15" s="12">
        <f>COUNTIFS('Price List &amp; Margins'!$A$2:$A$163,A15,'Price List &amp; Margins'!$E$2:$E$163,"&lt;&gt;")</f>
        <v>6</v>
      </c>
      <c r="E15" s="14">
        <f>IFERROR(AVERAGEIFS('Price List &amp; Margins'!$E$2:$E$163,'Price List &amp; Margins'!$A$2:$A$163,A15),"")</f>
        <v>50</v>
      </c>
      <c r="F15" s="14">
        <f>IFERROR(AVERAGEIFS('Price List &amp; Margins'!$F$2:$F$163,'Price List &amp; Margins'!$A$2:$A$163,A15),"")</f>
        <v>741.6666667</v>
      </c>
      <c r="G15" s="15">
        <f>IFERROR(AVERAGEIFS('Price List &amp; Margins'!$G$2:$G$163,'Price List &amp; Margins'!$A$2:$A$163,A15),"")</f>
        <v>0.9067460317</v>
      </c>
      <c r="H15" s="14">
        <f>IFERROR(SUMIFS('Price List &amp; Margins'!$F$2:$F$163,'Price List &amp; Margins'!$A$2:$A$163,A15),"")</f>
        <v>4450</v>
      </c>
    </row>
    <row r="16" ht="14.25" customHeight="1">
      <c r="A16" s="6" t="s">
        <v>163</v>
      </c>
      <c r="B16" s="12">
        <f>COUNTIF('Price List &amp; Margins'!$A$2:$A$163,A16)</f>
        <v>7</v>
      </c>
      <c r="C16" s="14">
        <f>IFERROR(AVERAGEIFS('Price List &amp; Margins'!$D$2:$D$163,'Price List &amp; Margins'!$A$2:$A$163,A16),"")</f>
        <v>2857.142857</v>
      </c>
      <c r="D16" s="12">
        <f>COUNTIFS('Price List &amp; Margins'!$A$2:$A$163,A16,'Price List &amp; Margins'!$E$2:$E$163,"&lt;&gt;")</f>
        <v>6</v>
      </c>
      <c r="E16" s="14">
        <f>IFERROR(AVERAGEIFS('Price List &amp; Margins'!$E$2:$E$163,'Price List &amp; Margins'!$A$2:$A$163,A16),"")</f>
        <v>130.8333333</v>
      </c>
      <c r="F16" s="14">
        <f>IFERROR(AVERAGEIFS('Price List &amp; Margins'!$F$2:$F$163,'Price List &amp; Margins'!$A$2:$A$163,A16),"")</f>
        <v>2535.833333</v>
      </c>
      <c r="G16" s="15">
        <f>IFERROR(AVERAGEIFS('Price List &amp; Margins'!$G$2:$G$163,'Price List &amp; Margins'!$A$2:$A$163,A16),"")</f>
        <v>0.9466071429</v>
      </c>
      <c r="H16" s="14">
        <f>IFERROR(SUMIFS('Price List &amp; Margins'!$F$2:$F$163,'Price List &amp; Margins'!$A$2:$A$163,A16),"")</f>
        <v>15215</v>
      </c>
    </row>
    <row r="17" ht="14.25" customHeight="1">
      <c r="A17" s="6" t="s">
        <v>171</v>
      </c>
      <c r="B17" s="12">
        <f>COUNTIF('Price List &amp; Margins'!$A$2:$A$163,A17)</f>
        <v>4</v>
      </c>
      <c r="C17" s="14">
        <f>IFERROR(AVERAGEIFS('Price List &amp; Margins'!$D$2:$D$163,'Price List &amp; Margins'!$A$2:$A$163,A17),"")</f>
        <v>962.5</v>
      </c>
      <c r="D17" s="12">
        <f>COUNTIFS('Price List &amp; Margins'!$A$2:$A$163,A17,'Price List &amp; Margins'!$E$2:$E$163,"&lt;&gt;")</f>
        <v>4</v>
      </c>
      <c r="E17" s="14">
        <f>IFERROR(AVERAGEIFS('Price List &amp; Margins'!$E$2:$E$163,'Price List &amp; Margins'!$A$2:$A$163,A17),"")</f>
        <v>100</v>
      </c>
      <c r="F17" s="14">
        <f>IFERROR(AVERAGEIFS('Price List &amp; Margins'!$F$2:$F$163,'Price List &amp; Margins'!$A$2:$A$163,A17),"")</f>
        <v>862.5</v>
      </c>
      <c r="G17" s="15">
        <f>IFERROR(AVERAGEIFS('Price List &amp; Margins'!$G$2:$G$163,'Price List &amp; Margins'!$A$2:$A$163,A17),"")</f>
        <v>0.8950831848</v>
      </c>
      <c r="H17" s="14">
        <f>IFERROR(SUMIFS('Price List &amp; Margins'!$F$2:$F$163,'Price List &amp; Margins'!$A$2:$A$163,A17),"")</f>
        <v>3450</v>
      </c>
    </row>
    <row r="18" ht="14.25" customHeight="1">
      <c r="A18" s="6" t="s">
        <v>174</v>
      </c>
      <c r="B18" s="12">
        <f>COUNTIF('Price List &amp; Margins'!$A$2:$A$163,A18)</f>
        <v>4</v>
      </c>
      <c r="C18" s="14">
        <f>IFERROR(AVERAGEIFS('Price List &amp; Margins'!$D$2:$D$163,'Price List &amp; Margins'!$A$2:$A$163,A18),"")</f>
        <v>2250</v>
      </c>
      <c r="D18" s="12">
        <f>COUNTIFS('Price List &amp; Margins'!$A$2:$A$163,A18,'Price List &amp; Margins'!$E$2:$E$163,"&lt;&gt;")</f>
        <v>4</v>
      </c>
      <c r="E18" s="14">
        <f>IFERROR(AVERAGEIFS('Price List &amp; Margins'!$E$2:$E$163,'Price List &amp; Margins'!$A$2:$A$163,A18),"")</f>
        <v>500</v>
      </c>
      <c r="F18" s="14">
        <f>IFERROR(AVERAGEIFS('Price List &amp; Margins'!$F$2:$F$163,'Price List &amp; Margins'!$A$2:$A$163,A18),"")</f>
        <v>1750</v>
      </c>
      <c r="G18" s="15">
        <f>IFERROR(AVERAGEIFS('Price List &amp; Margins'!$G$2:$G$163,'Price List &amp; Margins'!$A$2:$A$163,A18),"")</f>
        <v>0.775</v>
      </c>
      <c r="H18" s="14">
        <f>IFERROR(SUMIFS('Price List &amp; Margins'!$F$2:$F$163,'Price List &amp; Margins'!$A$2:$A$163,A18),"")</f>
        <v>7000</v>
      </c>
    </row>
    <row r="19" ht="14.25" customHeight="1">
      <c r="A19" s="6" t="s">
        <v>175</v>
      </c>
      <c r="B19" s="12">
        <f>COUNTIF('Price List &amp; Margins'!$A$2:$A$163,A19)</f>
        <v>3</v>
      </c>
      <c r="C19" s="14">
        <f>IFERROR(AVERAGEIFS('Price List &amp; Margins'!$D$2:$D$163,'Price List &amp; Margins'!$A$2:$A$163,A19),"")</f>
        <v>450</v>
      </c>
      <c r="D19" s="12">
        <f>COUNTIFS('Price List &amp; Margins'!$A$2:$A$163,A19,'Price List &amp; Margins'!$E$2:$E$163,"&lt;&gt;")</f>
        <v>3</v>
      </c>
      <c r="E19" s="14">
        <f>IFERROR(AVERAGEIFS('Price List &amp; Margins'!$E$2:$E$163,'Price List &amp; Margins'!$A$2:$A$163,A19),"")</f>
        <v>10</v>
      </c>
      <c r="F19" s="14">
        <f>IFERROR(AVERAGEIFS('Price List &amp; Margins'!$F$2:$F$163,'Price List &amp; Margins'!$A$2:$A$163,A19),"")</f>
        <v>440</v>
      </c>
      <c r="G19" s="15">
        <f>IFERROR(AVERAGEIFS('Price List &amp; Margins'!$G$2:$G$163,'Price List &amp; Margins'!$A$2:$A$163,A19),"")</f>
        <v>0.9775925926</v>
      </c>
      <c r="H19" s="14">
        <f>IFERROR(SUMIFS('Price List &amp; Margins'!$F$2:$F$163,'Price List &amp; Margins'!$A$2:$A$163,A19),"")</f>
        <v>1320</v>
      </c>
    </row>
    <row r="20" ht="14.25" customHeight="1">
      <c r="A20" s="6" t="s">
        <v>179</v>
      </c>
      <c r="B20" s="12">
        <f>COUNTIF('Price List &amp; Margins'!$A$2:$A$163,A20)</f>
        <v>2</v>
      </c>
      <c r="C20" s="14">
        <f>IFERROR(AVERAGEIFS('Price List &amp; Margins'!$D$2:$D$163,'Price List &amp; Margins'!$A$2:$A$163,A20),"")</f>
        <v>400</v>
      </c>
      <c r="D20" s="12">
        <f>COUNTIFS('Price List &amp; Margins'!$A$2:$A$163,A20,'Price List &amp; Margins'!$E$2:$E$163,"&lt;&gt;")</f>
        <v>2</v>
      </c>
      <c r="E20" s="14">
        <f>IFERROR(AVERAGEIFS('Price List &amp; Margins'!$E$2:$E$163,'Price List &amp; Margins'!$A$2:$A$163,A20),"")</f>
        <v>10</v>
      </c>
      <c r="F20" s="14">
        <f>IFERROR(AVERAGEIFS('Price List &amp; Margins'!$F$2:$F$163,'Price List &amp; Margins'!$A$2:$A$163,A20),"")</f>
        <v>390</v>
      </c>
      <c r="G20" s="15">
        <f>IFERROR(AVERAGEIFS('Price List &amp; Margins'!$G$2:$G$163,'Price List &amp; Margins'!$A$2:$A$163,A20),"")</f>
        <v>0.9733333333</v>
      </c>
      <c r="H20" s="14">
        <f>IFERROR(SUMIFS('Price List &amp; Margins'!$F$2:$F$163,'Price List &amp; Margins'!$A$2:$A$163,A20),"")</f>
        <v>780</v>
      </c>
    </row>
    <row r="21" ht="14.25" customHeight="1">
      <c r="A21" s="6" t="s">
        <v>180</v>
      </c>
      <c r="B21" s="12">
        <f>COUNTIF('Price List &amp; Margins'!$A$2:$A$163,A21)</f>
        <v>5</v>
      </c>
      <c r="C21" s="14">
        <f>IFERROR(AVERAGEIFS('Price List &amp; Margins'!$D$2:$D$163,'Price List &amp; Margins'!$A$2:$A$163,A21),"")</f>
        <v>990</v>
      </c>
      <c r="D21" s="12">
        <f>COUNTIFS('Price List &amp; Margins'!$A$2:$A$163,A21,'Price List &amp; Margins'!$E$2:$E$163,"&lt;&gt;")</f>
        <v>5</v>
      </c>
      <c r="E21" s="14">
        <f>IFERROR(AVERAGEIFS('Price List &amp; Margins'!$E$2:$E$163,'Price List &amp; Margins'!$A$2:$A$163,A21),"")</f>
        <v>10</v>
      </c>
      <c r="F21" s="14">
        <f>IFERROR(AVERAGEIFS('Price List &amp; Margins'!$F$2:$F$163,'Price List &amp; Margins'!$A$2:$A$163,A21),"")</f>
        <v>980</v>
      </c>
      <c r="G21" s="15">
        <f>IFERROR(AVERAGEIFS('Price List &amp; Margins'!$G$2:$G$163,'Price List &amp; Margins'!$A$2:$A$163,A21),"")</f>
        <v>0.9892343604</v>
      </c>
      <c r="H21" s="14">
        <f>IFERROR(SUMIFS('Price List &amp; Margins'!$F$2:$F$163,'Price List &amp; Margins'!$A$2:$A$163,A21),"")</f>
        <v>4900</v>
      </c>
    </row>
    <row r="22" ht="14.25" customHeight="1">
      <c r="A22" s="6" t="s">
        <v>183</v>
      </c>
      <c r="B22" s="12">
        <f>COUNTIF('Price List &amp; Margins'!$A$2:$A$163,A22)</f>
        <v>15</v>
      </c>
      <c r="C22" s="14">
        <f>IFERROR(AVERAGEIFS('Price List &amp; Margins'!$D$2:$D$163,'Price List &amp; Margins'!$A$2:$A$163,A22),"")</f>
        <v>3693.333333</v>
      </c>
      <c r="D22" s="12">
        <f>COUNTIFS('Price List &amp; Margins'!$A$2:$A$163,A22,'Price List &amp; Margins'!$E$2:$E$163,"&lt;&gt;")</f>
        <v>6</v>
      </c>
      <c r="E22" s="14">
        <f>IFERROR(AVERAGEIFS('Price List &amp; Margins'!$E$2:$E$163,'Price List &amp; Margins'!$A$2:$A$163,A22),"")</f>
        <v>35</v>
      </c>
      <c r="F22" s="14">
        <f>IFERROR(AVERAGEIFS('Price List &amp; Margins'!$F$2:$F$163,'Price List &amp; Margins'!$A$2:$A$163,A22),"")</f>
        <v>1515</v>
      </c>
      <c r="G22" s="15">
        <f>IFERROR(AVERAGEIFS('Price List &amp; Margins'!$G$2:$G$163,'Price List &amp; Margins'!$A$2:$A$163,A22),"")</f>
        <v>0.9736610343</v>
      </c>
      <c r="H22" s="14">
        <f>IFERROR(SUMIFS('Price List &amp; Margins'!$F$2:$F$163,'Price List &amp; Margins'!$A$2:$A$163,A22),"")</f>
        <v>9090</v>
      </c>
    </row>
    <row r="23" ht="14.25" customHeight="1">
      <c r="A23" s="6" t="s">
        <v>193</v>
      </c>
      <c r="B23" s="12">
        <f>COUNTIF('Price List &amp; Margins'!$A$2:$A$163,A23)</f>
        <v>6</v>
      </c>
      <c r="C23" s="14">
        <f>IFERROR(AVERAGEIFS('Price List &amp; Margins'!$D$2:$D$163,'Price List &amp; Margins'!$A$2:$A$163,A23),"")</f>
        <v>1833.333333</v>
      </c>
      <c r="D23" s="12">
        <f>COUNTIFS('Price List &amp; Margins'!$A$2:$A$163,A23,'Price List &amp; Margins'!$E$2:$E$163,"&lt;&gt;")</f>
        <v>6</v>
      </c>
      <c r="E23" s="14">
        <f>IFERROR(AVERAGEIFS('Price List &amp; Margins'!$E$2:$E$163,'Price List &amp; Margins'!$A$2:$A$163,A23),"")</f>
        <v>80</v>
      </c>
      <c r="F23" s="14">
        <f>IFERROR(AVERAGEIFS('Price List &amp; Margins'!$F$2:$F$163,'Price List &amp; Margins'!$A$2:$A$163,A23),"")</f>
        <v>1753.333333</v>
      </c>
      <c r="G23" s="15">
        <f>IFERROR(AVERAGEIFS('Price List &amp; Margins'!$G$2:$G$163,'Price List &amp; Margins'!$A$2:$A$163,A23),"")</f>
        <v>0.9541186054</v>
      </c>
      <c r="H23" s="14">
        <f>IFERROR(SUMIFS('Price List &amp; Margins'!$F$2:$F$163,'Price List &amp; Margins'!$A$2:$A$163,A23),"")</f>
        <v>10520</v>
      </c>
    </row>
    <row r="24" ht="14.25" customHeight="1">
      <c r="A24" s="18" t="s">
        <v>200</v>
      </c>
      <c r="B24" s="18">
        <f>SUM(B2:B23)</f>
        <v>162</v>
      </c>
      <c r="C24" s="19">
        <f>IFERROR(AVERAGE('Price List &amp; Margins'!$D$2:$D$163),"")</f>
        <v>1166.075949</v>
      </c>
      <c r="D24" s="18">
        <f>SUM(D2:D23)</f>
        <v>151</v>
      </c>
      <c r="E24" s="19">
        <f>IFERROR(AVERAGEIF('Price List &amp; Margins'!$E$2:$E$163,"&lt;&gt;"),"")</f>
        <v>80.52980132</v>
      </c>
      <c r="F24" s="19">
        <f>IFERROR(AVERAGEIF('Price List &amp; Margins'!$E$2:$E$163,"&lt;&gt;",'Price List &amp; Margins'!$F$2:$F$163),"")</f>
        <v>807.8145695</v>
      </c>
      <c r="G24" s="20">
        <f>IFERROR(AVERAGEIF('Price List &amp; Margins'!$E$2:$E$163,"&lt;&gt;",'Price List &amp; Margins'!$G$2:$G$163),"")</f>
        <v>0.9064863394</v>
      </c>
      <c r="H24" s="19">
        <f>SUM(H2:H23)</f>
        <v>121980</v>
      </c>
    </row>
    <row r="25" ht="14.25" customHeight="1"/>
    <row r="26" ht="30.0" customHeight="1">
      <c r="A26" s="21" t="s">
        <v>201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26:H26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43"/>
    <col customWidth="1" min="2" max="2" width="16.14"/>
    <col customWidth="1" min="3" max="26" width="8.71"/>
  </cols>
  <sheetData>
    <row r="1" ht="14.25" customHeight="1">
      <c r="A1" s="1" t="s">
        <v>56</v>
      </c>
      <c r="B1" s="1">
        <v>2.0</v>
      </c>
    </row>
    <row r="2" ht="14.25" customHeight="1">
      <c r="A2" s="1" t="s">
        <v>57</v>
      </c>
      <c r="B2" s="1">
        <v>3.0</v>
      </c>
    </row>
    <row r="3" ht="14.25" customHeight="1">
      <c r="A3" s="1" t="s">
        <v>58</v>
      </c>
      <c r="B3" s="1" t="s">
        <v>59</v>
      </c>
    </row>
    <row r="4" ht="14.25" customHeight="1">
      <c r="A4" s="1" t="s">
        <v>60</v>
      </c>
      <c r="B4" s="1">
        <v>2.0</v>
      </c>
    </row>
    <row r="5" ht="14.25" customHeight="1">
      <c r="A5" s="1" t="s">
        <v>61</v>
      </c>
      <c r="B5" s="1">
        <v>2.0</v>
      </c>
    </row>
    <row r="6" ht="14.25" customHeight="1">
      <c r="A6" s="1" t="s">
        <v>62</v>
      </c>
      <c r="B6" s="1" t="s">
        <v>63</v>
      </c>
    </row>
    <row r="7" ht="14.25" customHeight="1">
      <c r="A7" s="1" t="s">
        <v>64</v>
      </c>
      <c r="B7" s="1" t="s">
        <v>65</v>
      </c>
    </row>
    <row r="8" ht="14.25" customHeight="1">
      <c r="A8" s="1" t="s">
        <v>66</v>
      </c>
      <c r="B8" s="1">
        <v>1.0</v>
      </c>
    </row>
    <row r="9" ht="14.25" customHeight="1">
      <c r="A9" s="1" t="s">
        <v>67</v>
      </c>
      <c r="B9" s="1">
        <v>1.0</v>
      </c>
    </row>
    <row r="10" ht="14.25" customHeight="1">
      <c r="A10" s="1" t="s">
        <v>68</v>
      </c>
      <c r="B10" s="1" t="s">
        <v>65</v>
      </c>
    </row>
    <row r="11" ht="14.25" customHeight="1">
      <c r="A11" s="1" t="s">
        <v>69</v>
      </c>
      <c r="B11" s="1" t="s">
        <v>70</v>
      </c>
    </row>
    <row r="12" ht="14.25" customHeight="1">
      <c r="A12" s="1" t="s">
        <v>71</v>
      </c>
      <c r="B12" s="1">
        <v>2.0</v>
      </c>
    </row>
    <row r="13" ht="14.25" customHeight="1">
      <c r="A13" s="1" t="s">
        <v>73</v>
      </c>
      <c r="B13" s="1">
        <v>1.0</v>
      </c>
    </row>
    <row r="14" ht="14.25" customHeight="1">
      <c r="A14" s="1" t="s">
        <v>74</v>
      </c>
      <c r="B14" s="1">
        <v>2.0</v>
      </c>
    </row>
    <row r="15" ht="14.25" customHeight="1">
      <c r="A15" s="1" t="s">
        <v>75</v>
      </c>
      <c r="B15" s="1" t="s">
        <v>76</v>
      </c>
    </row>
    <row r="16" ht="14.25" customHeight="1">
      <c r="A16" s="1" t="s">
        <v>77</v>
      </c>
      <c r="B16" s="1" t="s">
        <v>65</v>
      </c>
    </row>
    <row r="17" ht="14.25" customHeight="1">
      <c r="A17" s="1" t="s">
        <v>78</v>
      </c>
      <c r="B17" s="1">
        <v>1.0</v>
      </c>
    </row>
    <row r="18" ht="14.25" customHeight="1">
      <c r="A18" s="1" t="s">
        <v>79</v>
      </c>
      <c r="B18" s="1">
        <v>1.0</v>
      </c>
    </row>
    <row r="19" ht="14.25" customHeight="1">
      <c r="A19" s="1" t="s">
        <v>80</v>
      </c>
      <c r="B19" s="1">
        <v>1.0</v>
      </c>
    </row>
    <row r="20" ht="14.25" customHeight="1">
      <c r="A20" s="1" t="s">
        <v>81</v>
      </c>
      <c r="B20" s="1" t="s">
        <v>65</v>
      </c>
    </row>
    <row r="21" ht="14.25" customHeight="1">
      <c r="A21" s="1" t="s">
        <v>82</v>
      </c>
      <c r="B21" s="1" t="s">
        <v>83</v>
      </c>
    </row>
    <row r="22" ht="14.25" customHeight="1">
      <c r="A22" s="1" t="s">
        <v>84</v>
      </c>
      <c r="B22" s="1">
        <v>1.0</v>
      </c>
    </row>
    <row r="23" ht="14.25" customHeight="1">
      <c r="A23" s="1" t="s">
        <v>85</v>
      </c>
      <c r="B23" s="1" t="s">
        <v>86</v>
      </c>
    </row>
    <row r="24" ht="14.25" customHeight="1">
      <c r="A24" s="1" t="s">
        <v>87</v>
      </c>
      <c r="B24" s="1">
        <v>1.0</v>
      </c>
    </row>
    <row r="25" ht="14.25" customHeight="1">
      <c r="A25" s="1" t="s">
        <v>88</v>
      </c>
      <c r="B25" s="1">
        <v>1.0</v>
      </c>
    </row>
    <row r="26" ht="14.25" customHeight="1">
      <c r="A26" s="1" t="s">
        <v>89</v>
      </c>
      <c r="B26" s="1">
        <v>1.0</v>
      </c>
    </row>
    <row r="27" ht="14.25" customHeight="1">
      <c r="A27" s="1" t="s">
        <v>90</v>
      </c>
      <c r="B27" s="1" t="s">
        <v>91</v>
      </c>
    </row>
    <row r="28" ht="14.25" customHeight="1">
      <c r="A28" s="1" t="s">
        <v>93</v>
      </c>
      <c r="B28" s="1" t="s">
        <v>94</v>
      </c>
    </row>
    <row r="29" ht="14.25" customHeight="1">
      <c r="A29" s="1" t="s">
        <v>95</v>
      </c>
      <c r="B29" s="1" t="s">
        <v>94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2026-08-16T05:48:14Z</dcterms:created>
  <dc:creator>openpyxl</dc:creator>
</cp:coreProperties>
</file>